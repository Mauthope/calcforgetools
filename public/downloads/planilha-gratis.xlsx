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bookViews>
    <workbookView xWindow="0" yWindow="0" windowWidth="19152" windowHeight="6972"/>
  </bookViews>
  <sheets>
    <sheet name="Dashboard Premium" sheetId="1" r:id="rId1"/>
  </sheets>
  <definedNames>
    <definedName name="_xlnm.Print_Area" localSheetId="0">'Dashboard Premium'!$A$1:$K$49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64" i="1" l="1"/>
  <c r="N64" i="1"/>
  <c r="B33" i="1"/>
  <c r="AO10" i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A10" i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BC9" i="1"/>
  <c r="BB9" i="1"/>
  <c r="AB6" i="1"/>
  <c r="AA6" i="1"/>
  <c r="AC9" i="1" s="1"/>
  <c r="AA54" i="1" l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O54" i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O167" i="1" s="1"/>
  <c r="AO168" i="1" s="1"/>
  <c r="AO169" i="1" s="1"/>
  <c r="AO170" i="1" s="1"/>
  <c r="AO171" i="1" s="1"/>
  <c r="AO172" i="1" s="1"/>
  <c r="AO173" i="1" s="1"/>
  <c r="AO174" i="1" s="1"/>
  <c r="AO175" i="1" s="1"/>
  <c r="AO176" i="1" s="1"/>
  <c r="AO177" i="1" s="1"/>
  <c r="AO178" i="1" s="1"/>
  <c r="AO179" i="1" s="1"/>
  <c r="AO180" i="1" s="1"/>
  <c r="AO181" i="1" s="1"/>
  <c r="AO182" i="1" s="1"/>
  <c r="AO183" i="1" s="1"/>
  <c r="AO184" i="1" s="1"/>
  <c r="AO185" i="1" s="1"/>
  <c r="AO186" i="1" s="1"/>
  <c r="AO187" i="1" s="1"/>
  <c r="AO188" i="1" s="1"/>
  <c r="AO189" i="1" s="1"/>
  <c r="AO190" i="1" s="1"/>
  <c r="AO191" i="1" s="1"/>
  <c r="AO192" i="1" s="1"/>
  <c r="AO193" i="1" s="1"/>
  <c r="AO194" i="1" s="1"/>
  <c r="AO195" i="1" s="1"/>
  <c r="AO196" i="1" s="1"/>
  <c r="AO197" i="1" s="1"/>
  <c r="AO198" i="1" s="1"/>
  <c r="AO199" i="1" s="1"/>
  <c r="AO200" i="1" s="1"/>
  <c r="AO201" i="1" s="1"/>
  <c r="AO202" i="1" s="1"/>
  <c r="AO203" i="1" s="1"/>
  <c r="AO204" i="1" s="1"/>
  <c r="AO205" i="1" s="1"/>
  <c r="AO206" i="1" s="1"/>
  <c r="AO207" i="1" s="1"/>
  <c r="AO208" i="1" s="1"/>
  <c r="AO209" i="1" s="1"/>
  <c r="AO210" i="1" s="1"/>
  <c r="AO211" i="1" s="1"/>
  <c r="AO212" i="1" s="1"/>
  <c r="AO213" i="1" s="1"/>
  <c r="AO214" i="1" s="1"/>
  <c r="AO215" i="1" s="1"/>
  <c r="AO216" i="1" s="1"/>
  <c r="AO217" i="1" s="1"/>
  <c r="AO218" i="1" s="1"/>
  <c r="AO219" i="1" s="1"/>
  <c r="AO220" i="1" s="1"/>
  <c r="AO221" i="1" s="1"/>
  <c r="AO222" i="1" s="1"/>
  <c r="AO223" i="1" s="1"/>
  <c r="AO224" i="1" s="1"/>
  <c r="AO225" i="1" s="1"/>
  <c r="AO226" i="1" s="1"/>
  <c r="AO227" i="1" s="1"/>
  <c r="AO228" i="1" s="1"/>
  <c r="AO229" i="1" s="1"/>
  <c r="AO230" i="1" s="1"/>
  <c r="AO231" i="1" s="1"/>
  <c r="AO232" i="1" s="1"/>
  <c r="AO233" i="1" s="1"/>
  <c r="AO234" i="1" s="1"/>
  <c r="AO235" i="1" s="1"/>
  <c r="AO236" i="1" s="1"/>
  <c r="AO237" i="1" s="1"/>
  <c r="AO238" i="1" s="1"/>
  <c r="AO239" i="1" s="1"/>
  <c r="AO240" i="1" s="1"/>
  <c r="AO241" i="1" s="1"/>
  <c r="AO242" i="1" s="1"/>
  <c r="AO243" i="1" s="1"/>
  <c r="AO244" i="1" s="1"/>
  <c r="AO245" i="1" s="1"/>
  <c r="AO246" i="1" s="1"/>
  <c r="AO247" i="1" s="1"/>
  <c r="AO248" i="1" s="1"/>
  <c r="AO249" i="1" s="1"/>
  <c r="AO250" i="1" s="1"/>
  <c r="AO251" i="1" s="1"/>
  <c r="AO252" i="1" s="1"/>
  <c r="AO253" i="1" s="1"/>
  <c r="AO254" i="1" s="1"/>
  <c r="AO255" i="1" s="1"/>
  <c r="AO256" i="1" s="1"/>
  <c r="AO257" i="1" s="1"/>
  <c r="AO258" i="1" s="1"/>
  <c r="AO259" i="1" s="1"/>
  <c r="AO260" i="1" s="1"/>
  <c r="AO261" i="1" s="1"/>
  <c r="AO262" i="1" s="1"/>
  <c r="AO263" i="1" s="1"/>
  <c r="AO264" i="1" s="1"/>
  <c r="AO265" i="1" s="1"/>
  <c r="AO266" i="1" s="1"/>
  <c r="AO267" i="1" s="1"/>
  <c r="AO268" i="1" s="1"/>
  <c r="AO269" i="1" s="1"/>
  <c r="AO270" i="1" s="1"/>
  <c r="AO271" i="1" s="1"/>
  <c r="AO272" i="1" s="1"/>
  <c r="AO273" i="1" s="1"/>
  <c r="AO274" i="1" s="1"/>
  <c r="AO275" i="1" s="1"/>
  <c r="AO276" i="1" s="1"/>
  <c r="AO277" i="1" s="1"/>
  <c r="AO278" i="1" s="1"/>
  <c r="AO279" i="1" s="1"/>
  <c r="AO280" i="1" s="1"/>
  <c r="AO281" i="1" s="1"/>
  <c r="AO282" i="1" s="1"/>
  <c r="AO283" i="1" s="1"/>
  <c r="AO284" i="1" s="1"/>
  <c r="AO285" i="1" s="1"/>
  <c r="AO286" i="1" s="1"/>
  <c r="AO287" i="1" s="1"/>
  <c r="AO288" i="1" s="1"/>
  <c r="AO289" i="1" s="1"/>
  <c r="AO290" i="1" s="1"/>
  <c r="AO291" i="1" s="1"/>
  <c r="AO292" i="1" s="1"/>
  <c r="AO293" i="1" s="1"/>
  <c r="AO294" i="1" s="1"/>
  <c r="AO295" i="1" s="1"/>
  <c r="AO296" i="1" s="1"/>
  <c r="AO297" i="1" s="1"/>
  <c r="AO298" i="1" s="1"/>
  <c r="AO299" i="1" s="1"/>
  <c r="AO300" i="1" s="1"/>
  <c r="AO301" i="1" s="1"/>
  <c r="AO302" i="1" s="1"/>
  <c r="AO303" i="1" s="1"/>
  <c r="AO304" i="1" s="1"/>
  <c r="AO305" i="1" s="1"/>
  <c r="AO306" i="1" s="1"/>
  <c r="AO307" i="1" s="1"/>
  <c r="AO308" i="1" s="1"/>
  <c r="AO309" i="1" s="1"/>
  <c r="AO310" i="1" s="1"/>
  <c r="AO311" i="1" s="1"/>
  <c r="AO312" i="1" s="1"/>
  <c r="AO313" i="1" s="1"/>
  <c r="AO314" i="1" s="1"/>
  <c r="AO315" i="1" s="1"/>
  <c r="AO316" i="1" s="1"/>
  <c r="AO317" i="1" s="1"/>
  <c r="AO318" i="1" s="1"/>
  <c r="AO319" i="1" s="1"/>
  <c r="AO320" i="1" s="1"/>
  <c r="AO321" i="1" s="1"/>
  <c r="AO322" i="1" s="1"/>
  <c r="AO323" i="1" s="1"/>
  <c r="AO324" i="1" s="1"/>
  <c r="AO325" i="1" s="1"/>
  <c r="AO326" i="1" s="1"/>
  <c r="AO327" i="1" s="1"/>
  <c r="AO328" i="1" s="1"/>
  <c r="AO329" i="1" s="1"/>
  <c r="AO330" i="1" s="1"/>
  <c r="AO331" i="1" s="1"/>
  <c r="AO332" i="1" s="1"/>
  <c r="AO333" i="1" s="1"/>
  <c r="AO334" i="1" s="1"/>
  <c r="AO335" i="1" s="1"/>
  <c r="AO336" i="1" s="1"/>
  <c r="AO337" i="1" s="1"/>
  <c r="AO338" i="1" s="1"/>
  <c r="AO339" i="1" s="1"/>
  <c r="AO340" i="1" s="1"/>
  <c r="AO341" i="1" s="1"/>
  <c r="AO342" i="1" s="1"/>
  <c r="AO343" i="1" s="1"/>
  <c r="AO344" i="1" s="1"/>
  <c r="AO345" i="1" s="1"/>
  <c r="AO346" i="1" s="1"/>
  <c r="AO347" i="1" s="1"/>
  <c r="AO348" i="1" s="1"/>
  <c r="AO349" i="1" s="1"/>
  <c r="AO350" i="1" s="1"/>
  <c r="AO351" i="1" s="1"/>
  <c r="AO352" i="1" s="1"/>
  <c r="AO353" i="1" s="1"/>
  <c r="AO354" i="1" s="1"/>
  <c r="AO355" i="1" s="1"/>
  <c r="AO356" i="1" s="1"/>
  <c r="AO357" i="1" s="1"/>
  <c r="AO358" i="1" s="1"/>
  <c r="AO359" i="1" s="1"/>
  <c r="AO360" i="1" s="1"/>
  <c r="AO361" i="1" s="1"/>
  <c r="AO362" i="1" s="1"/>
  <c r="AO363" i="1" s="1"/>
  <c r="AO364" i="1" s="1"/>
  <c r="AO365" i="1" s="1"/>
  <c r="AO366" i="1" s="1"/>
  <c r="AO367" i="1" s="1"/>
  <c r="AO368" i="1" s="1"/>
  <c r="AO369" i="1" s="1"/>
  <c r="AO370" i="1" s="1"/>
  <c r="AO371" i="1" s="1"/>
  <c r="AO372" i="1" s="1"/>
  <c r="AO373" i="1" s="1"/>
  <c r="AO374" i="1" s="1"/>
  <c r="AO375" i="1" s="1"/>
  <c r="AO376" i="1" s="1"/>
  <c r="AO377" i="1" s="1"/>
  <c r="AO378" i="1" s="1"/>
  <c r="AO379" i="1" s="1"/>
  <c r="AO380" i="1" s="1"/>
  <c r="AO381" i="1" s="1"/>
  <c r="AO382" i="1" s="1"/>
  <c r="AO383" i="1" s="1"/>
  <c r="AO384" i="1" s="1"/>
  <c r="AO385" i="1" s="1"/>
  <c r="AO386" i="1" s="1"/>
  <c r="AO387" i="1" s="1"/>
  <c r="AO388" i="1" s="1"/>
  <c r="AO389" i="1" s="1"/>
  <c r="AO390" i="1" s="1"/>
  <c r="AO391" i="1" s="1"/>
  <c r="AO392" i="1" s="1"/>
  <c r="AO393" i="1" s="1"/>
  <c r="AO394" i="1" s="1"/>
  <c r="AO395" i="1" s="1"/>
  <c r="AO396" i="1" s="1"/>
  <c r="AO397" i="1" s="1"/>
  <c r="AO398" i="1" s="1"/>
  <c r="AO399" i="1" s="1"/>
  <c r="AO400" i="1" s="1"/>
  <c r="AO401" i="1" s="1"/>
  <c r="AO402" i="1" s="1"/>
  <c r="AO403" i="1" s="1"/>
  <c r="AO404" i="1" s="1"/>
  <c r="AO405" i="1" s="1"/>
  <c r="AO406" i="1" s="1"/>
  <c r="AO407" i="1" s="1"/>
  <c r="AO408" i="1" s="1"/>
  <c r="AO409" i="1" s="1"/>
  <c r="AO410" i="1" s="1"/>
  <c r="AO411" i="1" s="1"/>
  <c r="AO412" i="1" s="1"/>
  <c r="AO413" i="1" s="1"/>
  <c r="AO414" i="1" s="1"/>
  <c r="AO415" i="1" s="1"/>
  <c r="AO416" i="1" s="1"/>
  <c r="AO417" i="1" s="1"/>
  <c r="AO418" i="1" s="1"/>
  <c r="AO419" i="1" s="1"/>
  <c r="AO420" i="1" s="1"/>
  <c r="AO421" i="1" s="1"/>
  <c r="AO422" i="1" s="1"/>
  <c r="AO423" i="1" s="1"/>
  <c r="AO424" i="1" s="1"/>
  <c r="AO425" i="1" s="1"/>
  <c r="AO426" i="1" s="1"/>
  <c r="AO427" i="1" s="1"/>
  <c r="AO428" i="1" s="1"/>
  <c r="AO429" i="1" s="1"/>
  <c r="AO430" i="1" s="1"/>
  <c r="AO431" i="1" s="1"/>
  <c r="AO432" i="1" s="1"/>
  <c r="AO433" i="1" s="1"/>
  <c r="AO434" i="1" s="1"/>
  <c r="AO435" i="1" s="1"/>
  <c r="AO436" i="1" s="1"/>
  <c r="AO437" i="1" s="1"/>
  <c r="AO438" i="1" s="1"/>
  <c r="AO439" i="1" s="1"/>
  <c r="AO440" i="1" s="1"/>
  <c r="AO441" i="1" s="1"/>
  <c r="AO442" i="1" s="1"/>
  <c r="AO443" i="1" s="1"/>
  <c r="AO444" i="1" s="1"/>
  <c r="AO445" i="1" s="1"/>
  <c r="AO446" i="1" s="1"/>
  <c r="AO447" i="1" s="1"/>
  <c r="AO448" i="1" s="1"/>
  <c r="AO449" i="1" s="1"/>
  <c r="AO450" i="1" s="1"/>
  <c r="AO451" i="1" s="1"/>
  <c r="AO452" i="1" s="1"/>
  <c r="AO453" i="1" s="1"/>
  <c r="AO454" i="1" s="1"/>
  <c r="AO455" i="1" s="1"/>
  <c r="AO456" i="1" s="1"/>
  <c r="AO457" i="1" s="1"/>
  <c r="AO458" i="1" s="1"/>
  <c r="AO459" i="1" s="1"/>
  <c r="AO460" i="1" s="1"/>
  <c r="AO461" i="1" s="1"/>
  <c r="AO462" i="1" s="1"/>
  <c r="AO463" i="1" s="1"/>
  <c r="AO464" i="1" s="1"/>
  <c r="AO465" i="1" s="1"/>
  <c r="AO466" i="1" s="1"/>
  <c r="AO467" i="1" s="1"/>
  <c r="AO468" i="1" s="1"/>
  <c r="AO469" i="1" s="1"/>
  <c r="AO470" i="1" s="1"/>
  <c r="AO471" i="1" s="1"/>
  <c r="AO472" i="1" s="1"/>
  <c r="AO473" i="1" s="1"/>
  <c r="AO474" i="1" s="1"/>
  <c r="AO475" i="1" s="1"/>
  <c r="AO476" i="1" s="1"/>
  <c r="AO477" i="1" s="1"/>
  <c r="AO478" i="1" s="1"/>
  <c r="AO479" i="1" s="1"/>
  <c r="AO480" i="1" s="1"/>
  <c r="AO481" i="1" s="1"/>
  <c r="AO482" i="1" s="1"/>
  <c r="AO483" i="1" s="1"/>
  <c r="AO484" i="1" s="1"/>
  <c r="AO485" i="1" s="1"/>
  <c r="AO486" i="1" s="1"/>
  <c r="AO487" i="1" s="1"/>
  <c r="AO488" i="1" s="1"/>
  <c r="AO489" i="1" s="1"/>
  <c r="AO490" i="1" s="1"/>
  <c r="AO491" i="1" s="1"/>
  <c r="AO492" i="1" s="1"/>
  <c r="AO493" i="1" s="1"/>
  <c r="AO494" i="1" s="1"/>
  <c r="AO495" i="1" s="1"/>
  <c r="AO496" i="1" s="1"/>
  <c r="AO497" i="1" s="1"/>
  <c r="AO498" i="1" s="1"/>
  <c r="AO499" i="1" s="1"/>
  <c r="AO500" i="1" s="1"/>
  <c r="AO501" i="1" s="1"/>
  <c r="AO502" i="1" s="1"/>
  <c r="AO503" i="1" s="1"/>
  <c r="AO504" i="1" s="1"/>
  <c r="AO505" i="1" s="1"/>
  <c r="AO506" i="1" s="1"/>
  <c r="AO507" i="1" s="1"/>
  <c r="AO508" i="1" s="1"/>
  <c r="AO509" i="1" s="1"/>
  <c r="AO510" i="1" s="1"/>
  <c r="AO511" i="1" s="1"/>
  <c r="AO512" i="1" s="1"/>
  <c r="AO513" i="1" s="1"/>
  <c r="AO514" i="1" s="1"/>
  <c r="AO515" i="1" s="1"/>
  <c r="AO516" i="1" s="1"/>
  <c r="AO517" i="1" s="1"/>
  <c r="AO518" i="1" s="1"/>
  <c r="AO519" i="1" s="1"/>
  <c r="AO520" i="1" s="1"/>
  <c r="AO521" i="1" s="1"/>
  <c r="AO522" i="1" s="1"/>
  <c r="AO523" i="1" s="1"/>
  <c r="AO524" i="1" s="1"/>
  <c r="AO525" i="1" s="1"/>
  <c r="AO526" i="1" s="1"/>
  <c r="AO527" i="1" s="1"/>
  <c r="AO528" i="1" s="1"/>
  <c r="AO529" i="1" s="1"/>
  <c r="AO530" i="1" s="1"/>
  <c r="AO531" i="1" s="1"/>
  <c r="AO532" i="1" s="1"/>
  <c r="AO533" i="1" s="1"/>
  <c r="AO534" i="1" s="1"/>
  <c r="AO535" i="1" s="1"/>
  <c r="AO536" i="1" s="1"/>
  <c r="AO537" i="1" s="1"/>
  <c r="AO538" i="1" s="1"/>
  <c r="AO539" i="1" s="1"/>
  <c r="AO540" i="1" s="1"/>
  <c r="AO541" i="1" s="1"/>
  <c r="AO542" i="1" s="1"/>
  <c r="AO543" i="1" s="1"/>
  <c r="AO544" i="1" s="1"/>
  <c r="AO545" i="1" s="1"/>
  <c r="AO546" i="1" s="1"/>
  <c r="AO547" i="1" s="1"/>
  <c r="AO548" i="1" s="1"/>
  <c r="AO549" i="1" s="1"/>
  <c r="AO550" i="1" s="1"/>
  <c r="AO551" i="1" s="1"/>
  <c r="AO552" i="1" s="1"/>
  <c r="AO553" i="1" s="1"/>
  <c r="AO554" i="1" s="1"/>
  <c r="AO555" i="1" s="1"/>
  <c r="AO556" i="1" s="1"/>
  <c r="AO557" i="1" s="1"/>
  <c r="AO558" i="1" s="1"/>
  <c r="AO559" i="1" s="1"/>
  <c r="AO560" i="1" s="1"/>
  <c r="AO561" i="1" s="1"/>
  <c r="AO562" i="1" s="1"/>
  <c r="AO563" i="1" s="1"/>
  <c r="AO564" i="1" s="1"/>
  <c r="AO565" i="1" s="1"/>
  <c r="AO566" i="1" s="1"/>
  <c r="AO567" i="1" s="1"/>
  <c r="AO568" i="1" s="1"/>
  <c r="AO569" i="1" s="1"/>
  <c r="AO570" i="1" s="1"/>
  <c r="AO571" i="1" s="1"/>
  <c r="AO572" i="1" s="1"/>
  <c r="AO573" i="1" s="1"/>
  <c r="AO574" i="1" s="1"/>
  <c r="AO575" i="1" s="1"/>
  <c r="AO576" i="1" s="1"/>
  <c r="AO577" i="1" s="1"/>
  <c r="AO578" i="1" s="1"/>
  <c r="AO579" i="1" s="1"/>
  <c r="AO580" i="1" s="1"/>
  <c r="AO581" i="1" s="1"/>
  <c r="AO582" i="1" s="1"/>
  <c r="AO583" i="1" s="1"/>
  <c r="AO584" i="1" s="1"/>
  <c r="AO585" i="1" s="1"/>
  <c r="AO586" i="1" s="1"/>
  <c r="AO587" i="1" s="1"/>
  <c r="AO588" i="1" s="1"/>
  <c r="AO589" i="1" s="1"/>
  <c r="AO590" i="1" s="1"/>
  <c r="AO591" i="1" s="1"/>
  <c r="AO592" i="1" s="1"/>
  <c r="AO593" i="1" s="1"/>
  <c r="AO594" i="1" s="1"/>
  <c r="AO595" i="1" s="1"/>
  <c r="AO596" i="1" s="1"/>
  <c r="AO597" i="1" s="1"/>
  <c r="AO598" i="1" s="1"/>
  <c r="AO599" i="1" s="1"/>
  <c r="AO600" i="1" s="1"/>
  <c r="AO601" i="1" s="1"/>
  <c r="AO602" i="1" s="1"/>
  <c r="AO603" i="1" s="1"/>
  <c r="AO604" i="1" s="1"/>
  <c r="AO605" i="1" s="1"/>
  <c r="AO606" i="1" s="1"/>
  <c r="AO607" i="1" s="1"/>
  <c r="AO608" i="1" s="1"/>
  <c r="AC6" i="1"/>
  <c r="B23" i="1" s="1"/>
  <c r="AF9" i="1"/>
  <c r="AQ9" i="1"/>
  <c r="AD6" i="1" l="1"/>
  <c r="H9" i="1" s="1"/>
  <c r="F9" i="1"/>
  <c r="AD9" i="1"/>
  <c r="AE9" i="1" s="1"/>
  <c r="AB9" i="1" s="1"/>
  <c r="AT9" i="1"/>
  <c r="D23" i="1" l="1"/>
  <c r="C23" i="1"/>
  <c r="AR9" i="1"/>
  <c r="AS9" i="1" s="1"/>
  <c r="AP9" i="1" s="1"/>
  <c r="AG9" i="1"/>
  <c r="AC10" i="1"/>
  <c r="AF10" i="1" s="1"/>
  <c r="AU9" i="1" l="1"/>
  <c r="AD10" i="1"/>
  <c r="AE10" i="1" s="1"/>
  <c r="AQ10" i="1"/>
  <c r="AT10" i="1" s="1"/>
  <c r="AR10" i="1" l="1"/>
  <c r="AS10" i="1" s="1"/>
  <c r="AG10" i="1"/>
  <c r="AB10" i="1"/>
  <c r="AC11" i="1" l="1"/>
  <c r="AF11" i="1" s="1"/>
  <c r="AP10" i="1"/>
  <c r="AU10" i="1"/>
  <c r="AQ11" i="1" l="1"/>
  <c r="AT11" i="1" s="1"/>
  <c r="AD11" i="1"/>
  <c r="AE11" i="1" s="1"/>
  <c r="AR11" i="1" l="1"/>
  <c r="AS11" i="1" s="1"/>
  <c r="AP11" i="1" s="1"/>
  <c r="AQ12" i="1" s="1"/>
  <c r="AB11" i="1"/>
  <c r="AG11" i="1"/>
  <c r="AR12" i="1" l="1"/>
  <c r="AS12" i="1" s="1"/>
  <c r="AP12" i="1" s="1"/>
  <c r="AT12" i="1"/>
  <c r="AU11" i="1"/>
  <c r="AC12" i="1"/>
  <c r="AF12" i="1" s="1"/>
  <c r="AU12" i="1" l="1"/>
  <c r="AD12" i="1"/>
  <c r="AE12" i="1" s="1"/>
  <c r="AQ13" i="1"/>
  <c r="AT13" i="1" s="1"/>
  <c r="AG12" i="1" l="1"/>
  <c r="AB12" i="1"/>
  <c r="AR13" i="1"/>
  <c r="AS13" i="1" s="1"/>
  <c r="AU13" i="1" l="1"/>
  <c r="AP13" i="1"/>
  <c r="AC13" i="1"/>
  <c r="AF13" i="1" s="1"/>
  <c r="AD13" i="1" l="1"/>
  <c r="AE13" i="1" s="1"/>
  <c r="AQ14" i="1"/>
  <c r="AT14" i="1" s="1"/>
  <c r="AR14" i="1" l="1"/>
  <c r="AS14" i="1" s="1"/>
  <c r="AB13" i="1"/>
  <c r="AG13" i="1"/>
  <c r="AP14" i="1" l="1"/>
  <c r="AQ15" i="1" s="1"/>
  <c r="AT15" i="1" s="1"/>
  <c r="AU14" i="1"/>
  <c r="AR15" i="1"/>
  <c r="AS15" i="1" s="1"/>
  <c r="AC14" i="1"/>
  <c r="AF14" i="1" s="1"/>
  <c r="AP15" i="1" l="1"/>
  <c r="AU15" i="1"/>
  <c r="AD14" i="1"/>
  <c r="AE14" i="1" s="1"/>
  <c r="AG14" i="1" l="1"/>
  <c r="AB14" i="1"/>
  <c r="AQ16" i="1"/>
  <c r="AT16" i="1" s="1"/>
  <c r="AR16" i="1"/>
  <c r="AS16" i="1" s="1"/>
  <c r="AP16" i="1" s="1"/>
  <c r="AQ17" i="1" l="1"/>
  <c r="AR17" i="1" s="1"/>
  <c r="AS17" i="1" s="1"/>
  <c r="AP17" i="1" s="1"/>
  <c r="AU16" i="1"/>
  <c r="AC15" i="1"/>
  <c r="AF15" i="1" s="1"/>
  <c r="AD15" i="1"/>
  <c r="AE15" i="1" s="1"/>
  <c r="AG15" i="1" s="1"/>
  <c r="AT17" i="1" l="1"/>
  <c r="AT18" i="1" s="1"/>
  <c r="AQ18" i="1"/>
  <c r="AR18" i="1" s="1"/>
  <c r="AS18" i="1" s="1"/>
  <c r="AP18" i="1" s="1"/>
  <c r="AU17" i="1"/>
  <c r="AB15" i="1"/>
  <c r="AQ19" i="1" l="1"/>
  <c r="AR19" i="1" s="1"/>
  <c r="AS19" i="1" s="1"/>
  <c r="AP19" i="1" s="1"/>
  <c r="AC16" i="1"/>
  <c r="AF16" i="1" s="1"/>
  <c r="AU18" i="1"/>
  <c r="AQ20" i="1" l="1"/>
  <c r="AR20" i="1" s="1"/>
  <c r="AS20" i="1" s="1"/>
  <c r="AP20" i="1" s="1"/>
  <c r="AU19" i="1"/>
  <c r="AD16" i="1"/>
  <c r="AE16" i="1" s="1"/>
  <c r="AT19" i="1"/>
  <c r="AT20" i="1" l="1"/>
  <c r="AQ21" i="1"/>
  <c r="AR21" i="1" s="1"/>
  <c r="AS21" i="1" s="1"/>
  <c r="AP21" i="1" s="1"/>
  <c r="AG16" i="1"/>
  <c r="AB16" i="1"/>
  <c r="AU20" i="1"/>
  <c r="AT21" i="1" l="1"/>
  <c r="AQ22" i="1"/>
  <c r="AR22" i="1" s="1"/>
  <c r="AS22" i="1" s="1"/>
  <c r="AP22" i="1" s="1"/>
  <c r="AC17" i="1"/>
  <c r="AF17" i="1" s="1"/>
  <c r="AU21" i="1"/>
  <c r="AT22" i="1" l="1"/>
  <c r="AQ23" i="1"/>
  <c r="AT23" i="1" s="1"/>
  <c r="AU22" i="1"/>
  <c r="AD17" i="1"/>
  <c r="AE17" i="1" s="1"/>
  <c r="AR23" i="1" l="1"/>
  <c r="AS23" i="1" s="1"/>
  <c r="AP23" i="1" s="1"/>
  <c r="AB17" i="1"/>
  <c r="AG17" i="1"/>
  <c r="AC18" i="1" l="1"/>
  <c r="AF18" i="1" s="1"/>
  <c r="AU23" i="1"/>
  <c r="AQ24" i="1"/>
  <c r="AT24" i="1" s="1"/>
  <c r="AR24" i="1" l="1"/>
  <c r="AS24" i="1" s="1"/>
  <c r="AP24" i="1" s="1"/>
  <c r="AD18" i="1"/>
  <c r="AE18" i="1" s="1"/>
  <c r="AG18" i="1" l="1"/>
  <c r="AB18" i="1"/>
  <c r="AU24" i="1"/>
  <c r="AQ25" i="1"/>
  <c r="AT25" i="1" s="1"/>
  <c r="AR25" i="1" l="1"/>
  <c r="AS25" i="1" s="1"/>
  <c r="AP25" i="1" s="1"/>
  <c r="AC19" i="1"/>
  <c r="AF19" i="1" s="1"/>
  <c r="AD19" i="1" l="1"/>
  <c r="AE19" i="1" s="1"/>
  <c r="AB19" i="1" s="1"/>
  <c r="AC20" i="1" s="1"/>
  <c r="AF20" i="1" s="1"/>
  <c r="AG19" i="1"/>
  <c r="AQ26" i="1"/>
  <c r="AT26" i="1" s="1"/>
  <c r="AU25" i="1"/>
  <c r="AD20" i="1" l="1"/>
  <c r="AE20" i="1" s="1"/>
  <c r="AB20" i="1" s="1"/>
  <c r="AC21" i="1" s="1"/>
  <c r="AF21" i="1" s="1"/>
  <c r="AR26" i="1"/>
  <c r="AS26" i="1" s="1"/>
  <c r="AP26" i="1" s="1"/>
  <c r="AG20" i="1" l="1"/>
  <c r="AD21" i="1"/>
  <c r="AE21" i="1" s="1"/>
  <c r="AB21" i="1" s="1"/>
  <c r="AC22" i="1" s="1"/>
  <c r="AF22" i="1" s="1"/>
  <c r="AU26" i="1"/>
  <c r="AQ27" i="1"/>
  <c r="AT27" i="1" s="1"/>
  <c r="AG21" i="1" l="1"/>
  <c r="AG22" i="1" s="1"/>
  <c r="AD22" i="1"/>
  <c r="AE22" i="1" s="1"/>
  <c r="AB22" i="1" s="1"/>
  <c r="AR27" i="1"/>
  <c r="AS27" i="1" s="1"/>
  <c r="AP27" i="1" s="1"/>
  <c r="AU27" i="1" l="1"/>
  <c r="AQ28" i="1"/>
  <c r="AT28" i="1" s="1"/>
  <c r="AC23" i="1"/>
  <c r="AF23" i="1" s="1"/>
  <c r="AR28" i="1" l="1"/>
  <c r="AS28" i="1" s="1"/>
  <c r="AP28" i="1" s="1"/>
  <c r="AQ29" i="1" s="1"/>
  <c r="AT29" i="1" s="1"/>
  <c r="AD23" i="1"/>
  <c r="AE23" i="1" s="1"/>
  <c r="AU28" i="1" l="1"/>
  <c r="AR29" i="1"/>
  <c r="AS29" i="1" s="1"/>
  <c r="AP29" i="1" s="1"/>
  <c r="AQ30" i="1" s="1"/>
  <c r="AB23" i="1"/>
  <c r="AG23" i="1"/>
  <c r="AR30" i="1" l="1"/>
  <c r="AS30" i="1" s="1"/>
  <c r="AP30" i="1" s="1"/>
  <c r="AQ31" i="1" s="1"/>
  <c r="AR31" i="1" s="1"/>
  <c r="AS31" i="1" s="1"/>
  <c r="AP31" i="1" s="1"/>
  <c r="AT30" i="1"/>
  <c r="AU29" i="1"/>
  <c r="AC24" i="1"/>
  <c r="AF24" i="1" s="1"/>
  <c r="AU30" i="1" l="1"/>
  <c r="AU31" i="1" s="1"/>
  <c r="AT31" i="1"/>
  <c r="AQ32" i="1"/>
  <c r="AR32" i="1" s="1"/>
  <c r="AS32" i="1" s="1"/>
  <c r="AP32" i="1" s="1"/>
  <c r="AD24" i="1"/>
  <c r="AE24" i="1" s="1"/>
  <c r="AQ33" i="1" l="1"/>
  <c r="AR33" i="1" s="1"/>
  <c r="AS33" i="1" s="1"/>
  <c r="AP33" i="1" s="1"/>
  <c r="AT32" i="1"/>
  <c r="AG24" i="1"/>
  <c r="AB24" i="1"/>
  <c r="AU32" i="1"/>
  <c r="AQ34" i="1" l="1"/>
  <c r="AR34" i="1" s="1"/>
  <c r="AS34" i="1" s="1"/>
  <c r="AP34" i="1" s="1"/>
  <c r="AU33" i="1"/>
  <c r="AC25" i="1"/>
  <c r="AF25" i="1" s="1"/>
  <c r="AT33" i="1"/>
  <c r="AT34" i="1" l="1"/>
  <c r="AQ35" i="1"/>
  <c r="AR35" i="1" s="1"/>
  <c r="AS35" i="1" s="1"/>
  <c r="AP35" i="1" s="1"/>
  <c r="AD25" i="1"/>
  <c r="AE25" i="1" s="1"/>
  <c r="AU34" i="1"/>
  <c r="AT35" i="1" l="1"/>
  <c r="AQ36" i="1"/>
  <c r="AR36" i="1" s="1"/>
  <c r="AS36" i="1" s="1"/>
  <c r="AP36" i="1" s="1"/>
  <c r="AU35" i="1"/>
  <c r="AB25" i="1"/>
  <c r="AG25" i="1"/>
  <c r="AT36" i="1" l="1"/>
  <c r="AQ37" i="1"/>
  <c r="AR37" i="1" s="1"/>
  <c r="AS37" i="1" s="1"/>
  <c r="AP37" i="1" s="1"/>
  <c r="AC26" i="1"/>
  <c r="AF26" i="1" s="1"/>
  <c r="AU36" i="1"/>
  <c r="AT37" i="1" l="1"/>
  <c r="AQ38" i="1"/>
  <c r="AR38" i="1" s="1"/>
  <c r="AS38" i="1" s="1"/>
  <c r="AP38" i="1" s="1"/>
  <c r="AD26" i="1"/>
  <c r="AE26" i="1" s="1"/>
  <c r="AU37" i="1"/>
  <c r="AT38" i="1" l="1"/>
  <c r="AQ39" i="1"/>
  <c r="AR39" i="1" s="1"/>
  <c r="AS39" i="1" s="1"/>
  <c r="AP39" i="1" s="1"/>
  <c r="AU38" i="1"/>
  <c r="AB26" i="1"/>
  <c r="AG26" i="1"/>
  <c r="AT39" i="1" l="1"/>
  <c r="AQ40" i="1"/>
  <c r="AR40" i="1" s="1"/>
  <c r="AS40" i="1" s="1"/>
  <c r="AP40" i="1" s="1"/>
  <c r="AC27" i="1"/>
  <c r="AF27" i="1" s="1"/>
  <c r="AU39" i="1"/>
  <c r="AT40" i="1" l="1"/>
  <c r="AD27" i="1"/>
  <c r="AE27" i="1" s="1"/>
  <c r="AG27" i="1" s="1"/>
  <c r="AQ41" i="1"/>
  <c r="AR41" i="1" s="1"/>
  <c r="AS41" i="1" s="1"/>
  <c r="AP41" i="1" s="1"/>
  <c r="AU40" i="1"/>
  <c r="AT41" i="1" l="1"/>
  <c r="AB27" i="1"/>
  <c r="AC28" i="1" s="1"/>
  <c r="AF28" i="1" s="1"/>
  <c r="AQ42" i="1"/>
  <c r="AT42" i="1" s="1"/>
  <c r="AU41" i="1"/>
  <c r="AR42" i="1" l="1"/>
  <c r="AS42" i="1" s="1"/>
  <c r="AP42" i="1" s="1"/>
  <c r="AD28" i="1"/>
  <c r="AE28" i="1" s="1"/>
  <c r="AQ43" i="1" l="1"/>
  <c r="AT43" i="1" s="1"/>
  <c r="AU42" i="1"/>
  <c r="AG28" i="1"/>
  <c r="AB28" i="1"/>
  <c r="AR43" i="1" l="1"/>
  <c r="AS43" i="1" s="1"/>
  <c r="AP43" i="1" s="1"/>
  <c r="AQ44" i="1" s="1"/>
  <c r="AC29" i="1"/>
  <c r="AF29" i="1" s="1"/>
  <c r="AR44" i="1" l="1"/>
  <c r="AS44" i="1" s="1"/>
  <c r="AP44" i="1" s="1"/>
  <c r="AQ45" i="1" s="1"/>
  <c r="AT44" i="1"/>
  <c r="AU43" i="1"/>
  <c r="AD29" i="1"/>
  <c r="AE29" i="1" s="1"/>
  <c r="AT45" i="1" l="1"/>
  <c r="AR45" i="1"/>
  <c r="AS45" i="1" s="1"/>
  <c r="AP45" i="1" s="1"/>
  <c r="AQ46" i="1" s="1"/>
  <c r="AU44" i="1"/>
  <c r="AU45" i="1" s="1"/>
  <c r="AB29" i="1"/>
  <c r="AG29" i="1"/>
  <c r="AR46" i="1" l="1"/>
  <c r="AS46" i="1" s="1"/>
  <c r="AP46" i="1" s="1"/>
  <c r="AQ47" i="1" s="1"/>
  <c r="AT46" i="1"/>
  <c r="AC30" i="1"/>
  <c r="AF30" i="1" s="1"/>
  <c r="AT47" i="1" l="1"/>
  <c r="AU46" i="1"/>
  <c r="AR47" i="1"/>
  <c r="AS47" i="1" s="1"/>
  <c r="AP47" i="1" s="1"/>
  <c r="AQ48" i="1" s="1"/>
  <c r="AT48" i="1" s="1"/>
  <c r="AD30" i="1"/>
  <c r="AE30" i="1" s="1"/>
  <c r="AU47" i="1" l="1"/>
  <c r="AR48" i="1"/>
  <c r="AS48" i="1" s="1"/>
  <c r="AP48" i="1" s="1"/>
  <c r="AQ49" i="1" s="1"/>
  <c r="AR49" i="1" s="1"/>
  <c r="AS49" i="1" s="1"/>
  <c r="AG30" i="1"/>
  <c r="AB30" i="1"/>
  <c r="AU48" i="1" l="1"/>
  <c r="AU49" i="1" s="1"/>
  <c r="AP49" i="1"/>
  <c r="AQ50" i="1" s="1"/>
  <c r="AT49" i="1"/>
  <c r="AC31" i="1"/>
  <c r="AF31" i="1" s="1"/>
  <c r="AR50" i="1" l="1"/>
  <c r="AS50" i="1" s="1"/>
  <c r="AP50" i="1" s="1"/>
  <c r="AT50" i="1"/>
  <c r="AD31" i="1"/>
  <c r="AE31" i="1" s="1"/>
  <c r="AB31" i="1" s="1"/>
  <c r="AC32" i="1" s="1"/>
  <c r="AG31" i="1" l="1"/>
  <c r="AD32" i="1"/>
  <c r="AE32" i="1" s="1"/>
  <c r="AB32" i="1" s="1"/>
  <c r="AC33" i="1" s="1"/>
  <c r="AD33" i="1" s="1"/>
  <c r="AE33" i="1" s="1"/>
  <c r="AF32" i="1"/>
  <c r="AU50" i="1"/>
  <c r="AQ51" i="1"/>
  <c r="AT51" i="1" s="1"/>
  <c r="AG32" i="1" l="1"/>
  <c r="AG33" i="1" s="1"/>
  <c r="AF33" i="1"/>
  <c r="AR51" i="1"/>
  <c r="AS51" i="1" s="1"/>
  <c r="AB33" i="1"/>
  <c r="AU51" i="1" l="1"/>
  <c r="AP51" i="1"/>
  <c r="AC34" i="1"/>
  <c r="AF34" i="1" s="1"/>
  <c r="AD34" i="1" l="1"/>
  <c r="AE34" i="1" s="1"/>
  <c r="AG34" i="1" s="1"/>
  <c r="AQ52" i="1"/>
  <c r="AT52" i="1" s="1"/>
  <c r="AB34" i="1"/>
  <c r="AR52" i="1" l="1"/>
  <c r="AS52" i="1" s="1"/>
  <c r="AC35" i="1"/>
  <c r="AF35" i="1" s="1"/>
  <c r="AP52" i="1" l="1"/>
  <c r="AU52" i="1"/>
  <c r="AD35" i="1"/>
  <c r="AE35" i="1" s="1"/>
  <c r="AQ53" i="1" l="1"/>
  <c r="AT53" i="1" s="1"/>
  <c r="AR53" i="1"/>
  <c r="AS53" i="1" s="1"/>
  <c r="AU53" i="1" s="1"/>
  <c r="AG35" i="1"/>
  <c r="AB35" i="1"/>
  <c r="AP53" i="1" l="1"/>
  <c r="AC36" i="1"/>
  <c r="AF36" i="1" s="1"/>
  <c r="AD36" i="1" l="1"/>
  <c r="AE36" i="1" s="1"/>
  <c r="AB36" i="1" l="1"/>
  <c r="AG36" i="1"/>
  <c r="AQ54" i="1" l="1"/>
  <c r="AR54" i="1" s="1"/>
  <c r="AS54" i="1" s="1"/>
  <c r="AP54" i="1" s="1"/>
  <c r="AT54" i="1"/>
  <c r="AC37" i="1"/>
  <c r="AF37" i="1" s="1"/>
  <c r="AQ55" i="1" l="1"/>
  <c r="AR55" i="1"/>
  <c r="AS55" i="1" s="1"/>
  <c r="AP55" i="1" s="1"/>
  <c r="AU54" i="1"/>
  <c r="AU55" i="1" s="1"/>
  <c r="AD37" i="1"/>
  <c r="AE37" i="1" s="1"/>
  <c r="AT55" i="1"/>
  <c r="AQ56" i="1" l="1"/>
  <c r="AR56" i="1" s="1"/>
  <c r="AS56" i="1" s="1"/>
  <c r="AT56" i="1"/>
  <c r="AB37" i="1"/>
  <c r="AG37" i="1"/>
  <c r="AP56" i="1" l="1"/>
  <c r="AU56" i="1"/>
  <c r="AC38" i="1"/>
  <c r="AF38" i="1" s="1"/>
  <c r="AD38" i="1"/>
  <c r="AE38" i="1" s="1"/>
  <c r="AG38" i="1" s="1"/>
  <c r="AB38" i="1" l="1"/>
  <c r="AQ57" i="1"/>
  <c r="AT57" i="1" s="1"/>
  <c r="AR57" i="1" l="1"/>
  <c r="AS57" i="1" s="1"/>
  <c r="AC39" i="1"/>
  <c r="AF39" i="1" s="1"/>
  <c r="AD39" i="1" l="1"/>
  <c r="AE39" i="1" s="1"/>
  <c r="AG39" i="1" s="1"/>
  <c r="AU57" i="1"/>
  <c r="AP57" i="1"/>
  <c r="AB39" i="1" l="1"/>
  <c r="AC40" i="1" s="1"/>
  <c r="AF40" i="1" s="1"/>
  <c r="AQ58" i="1"/>
  <c r="AT58" i="1" s="1"/>
  <c r="AD40" i="1" l="1"/>
  <c r="AE40" i="1" s="1"/>
  <c r="AR58" i="1"/>
  <c r="AS58" i="1" s="1"/>
  <c r="AP58" i="1" l="1"/>
  <c r="AU58" i="1"/>
  <c r="AG40" i="1"/>
  <c r="AB40" i="1"/>
  <c r="AC41" i="1" l="1"/>
  <c r="AF41" i="1" s="1"/>
  <c r="AQ59" i="1"/>
  <c r="AT59" i="1" s="1"/>
  <c r="AR59" i="1" l="1"/>
  <c r="AS59" i="1" s="1"/>
  <c r="AP59" i="1" s="1"/>
  <c r="AQ60" i="1" s="1"/>
  <c r="AD41" i="1"/>
  <c r="AE41" i="1" s="1"/>
  <c r="AR60" i="1" l="1"/>
  <c r="AS60" i="1" s="1"/>
  <c r="AP60" i="1" s="1"/>
  <c r="AQ61" i="1" s="1"/>
  <c r="AT60" i="1"/>
  <c r="AU59" i="1"/>
  <c r="AG41" i="1"/>
  <c r="AB41" i="1"/>
  <c r="AR61" i="1" l="1"/>
  <c r="AS61" i="1" s="1"/>
  <c r="AP61" i="1" s="1"/>
  <c r="AT61" i="1"/>
  <c r="AU60" i="1"/>
  <c r="AC42" i="1"/>
  <c r="AF42" i="1" s="1"/>
  <c r="AQ62" i="1"/>
  <c r="AR62" i="1" s="1"/>
  <c r="AS62" i="1" s="1"/>
  <c r="AP62" i="1" s="1"/>
  <c r="AU61" i="1"/>
  <c r="AD42" i="1" l="1"/>
  <c r="AE42" i="1" s="1"/>
  <c r="AT62" i="1"/>
  <c r="AQ63" i="1"/>
  <c r="AR63" i="1" s="1"/>
  <c r="AS63" i="1" s="1"/>
  <c r="AP63" i="1" s="1"/>
  <c r="AU62" i="1"/>
  <c r="AB42" i="1" l="1"/>
  <c r="AC43" i="1" s="1"/>
  <c r="AD43" i="1" s="1"/>
  <c r="AE43" i="1" s="1"/>
  <c r="AB43" i="1" s="1"/>
  <c r="AG42" i="1"/>
  <c r="AU63" i="1"/>
  <c r="AT63" i="1"/>
  <c r="AQ64" i="1"/>
  <c r="AR64" i="1" s="1"/>
  <c r="AS64" i="1" s="1"/>
  <c r="AP64" i="1" s="1"/>
  <c r="AT64" i="1" l="1"/>
  <c r="AG43" i="1"/>
  <c r="AF43" i="1"/>
  <c r="AC44" i="1"/>
  <c r="AF44" i="1" s="1"/>
  <c r="AQ65" i="1"/>
  <c r="AR65" i="1" s="1"/>
  <c r="AS65" i="1" s="1"/>
  <c r="AP65" i="1" s="1"/>
  <c r="AU64" i="1"/>
  <c r="AD44" i="1" l="1"/>
  <c r="AE44" i="1" s="1"/>
  <c r="AT65" i="1"/>
  <c r="AU65" i="1"/>
  <c r="AQ66" i="1"/>
  <c r="AR66" i="1" s="1"/>
  <c r="AS66" i="1" s="1"/>
  <c r="AT66" i="1"/>
  <c r="AP66" i="1" l="1"/>
  <c r="AU66" i="1"/>
  <c r="AG44" i="1"/>
  <c r="AB44" i="1"/>
  <c r="AQ67" i="1"/>
  <c r="AR67" i="1"/>
  <c r="AS67" i="1" s="1"/>
  <c r="AP67" i="1" s="1"/>
  <c r="AT67" i="1"/>
  <c r="AU67" i="1" l="1"/>
  <c r="AC45" i="1"/>
  <c r="AF45" i="1" s="1"/>
  <c r="AD45" i="1"/>
  <c r="AE45" i="1" s="1"/>
  <c r="AB45" i="1" s="1"/>
  <c r="AQ68" i="1"/>
  <c r="AR68" i="1" s="1"/>
  <c r="AS68" i="1" s="1"/>
  <c r="AC46" i="1" l="1"/>
  <c r="AD46" i="1" s="1"/>
  <c r="AE46" i="1" s="1"/>
  <c r="AB46" i="1" s="1"/>
  <c r="AG45" i="1"/>
  <c r="AP68" i="1"/>
  <c r="AQ69" i="1" s="1"/>
  <c r="AU68" i="1"/>
  <c r="AT68" i="1"/>
  <c r="AT69" i="1" l="1"/>
  <c r="AF46" i="1"/>
  <c r="AG46" i="1"/>
  <c r="AR69" i="1"/>
  <c r="AS69" i="1" s="1"/>
  <c r="AP69" i="1" s="1"/>
  <c r="AC47" i="1"/>
  <c r="AF47" i="1" l="1"/>
  <c r="AU69" i="1"/>
  <c r="AQ70" i="1"/>
  <c r="AT70" i="1" s="1"/>
  <c r="AD47" i="1"/>
  <c r="AE47" i="1" s="1"/>
  <c r="AG47" i="1" l="1"/>
  <c r="AB47" i="1"/>
  <c r="AR70" i="1"/>
  <c r="AS70" i="1" s="1"/>
  <c r="AP70" i="1" l="1"/>
  <c r="AU70" i="1"/>
  <c r="AC48" i="1"/>
  <c r="AF48" i="1" s="1"/>
  <c r="AD48" i="1" l="1"/>
  <c r="AE48" i="1" s="1"/>
  <c r="AQ71" i="1"/>
  <c r="AR71" i="1" l="1"/>
  <c r="AS71" i="1" s="1"/>
  <c r="AT71" i="1"/>
  <c r="AB48" i="1"/>
  <c r="AG48" i="1"/>
  <c r="AC49" i="1" l="1"/>
  <c r="AF49" i="1" s="1"/>
  <c r="AD49" i="1"/>
  <c r="AE49" i="1" s="1"/>
  <c r="AG49" i="1" s="1"/>
  <c r="AU71" i="1"/>
  <c r="AP71" i="1"/>
  <c r="AQ72" i="1" l="1"/>
  <c r="AT72" i="1" s="1"/>
  <c r="AR72" i="1"/>
  <c r="AS72" i="1" s="1"/>
  <c r="AP72" i="1" s="1"/>
  <c r="AB49" i="1"/>
  <c r="AQ73" i="1" l="1"/>
  <c r="AT73" i="1" s="1"/>
  <c r="AR73" i="1"/>
  <c r="AS73" i="1" s="1"/>
  <c r="AP73" i="1" s="1"/>
  <c r="AC50" i="1"/>
  <c r="AF50" i="1" s="1"/>
  <c r="AU72" i="1"/>
  <c r="AU73" i="1" s="1"/>
  <c r="AD50" i="1" l="1"/>
  <c r="AE50" i="1" s="1"/>
  <c r="AG50" i="1" s="1"/>
  <c r="AQ74" i="1"/>
  <c r="AT74" i="1" s="1"/>
  <c r="AB50" i="1"/>
  <c r="AR74" i="1" l="1"/>
  <c r="AS74" i="1" s="1"/>
  <c r="AC51" i="1"/>
  <c r="AF51" i="1" s="1"/>
  <c r="AD51" i="1"/>
  <c r="AE51" i="1" s="1"/>
  <c r="AG51" i="1" s="1"/>
  <c r="AU74" i="1" l="1"/>
  <c r="AP74" i="1"/>
  <c r="AQ75" i="1" s="1"/>
  <c r="AT75" i="1" s="1"/>
  <c r="AB51" i="1"/>
  <c r="AR75" i="1"/>
  <c r="AS75" i="1" s="1"/>
  <c r="AC52" i="1" l="1"/>
  <c r="AF52" i="1" s="1"/>
  <c r="AU75" i="1"/>
  <c r="AP75" i="1"/>
  <c r="AD52" i="1" l="1"/>
  <c r="AE52" i="1" s="1"/>
  <c r="AQ76" i="1"/>
  <c r="AT76" i="1" s="1"/>
  <c r="AG52" i="1" l="1"/>
  <c r="AB52" i="1"/>
  <c r="AR76" i="1"/>
  <c r="AS76" i="1" s="1"/>
  <c r="AC53" i="1" l="1"/>
  <c r="AF53" i="1" s="1"/>
  <c r="AD53" i="1"/>
  <c r="AE53" i="1" s="1"/>
  <c r="AB53" i="1" s="1"/>
  <c r="AC54" i="1" s="1"/>
  <c r="AF54" i="1" s="1"/>
  <c r="AU76" i="1"/>
  <c r="AP76" i="1"/>
  <c r="AG53" i="1" l="1"/>
  <c r="AD54" i="1"/>
  <c r="AE54" i="1" s="1"/>
  <c r="AQ77" i="1"/>
  <c r="AT77" i="1" s="1"/>
  <c r="AR77" i="1" l="1"/>
  <c r="AS77" i="1" s="1"/>
  <c r="AP77" i="1" s="1"/>
  <c r="AQ78" i="1" s="1"/>
  <c r="AB54" i="1"/>
  <c r="AG54" i="1"/>
  <c r="AU77" i="1" l="1"/>
  <c r="AR78" i="1"/>
  <c r="AS78" i="1" s="1"/>
  <c r="AP78" i="1" s="1"/>
  <c r="AQ79" i="1" s="1"/>
  <c r="AR79" i="1" s="1"/>
  <c r="AS79" i="1" s="1"/>
  <c r="AP79" i="1" s="1"/>
  <c r="AT78" i="1"/>
  <c r="AC55" i="1"/>
  <c r="AF55" i="1" s="1"/>
  <c r="AU78" i="1" l="1"/>
  <c r="AT79" i="1"/>
  <c r="AQ80" i="1"/>
  <c r="AR80" i="1" s="1"/>
  <c r="AS80" i="1" s="1"/>
  <c r="AP80" i="1" s="1"/>
  <c r="AT80" i="1"/>
  <c r="AD55" i="1"/>
  <c r="AE55" i="1" s="1"/>
  <c r="AU79" i="1"/>
  <c r="AQ81" i="1" l="1"/>
  <c r="AR81" i="1" s="1"/>
  <c r="AS81" i="1" s="1"/>
  <c r="AP81" i="1" s="1"/>
  <c r="AG55" i="1"/>
  <c r="AB55" i="1"/>
  <c r="AU80" i="1"/>
  <c r="AT81" i="1" l="1"/>
  <c r="AQ82" i="1"/>
  <c r="AR82" i="1" s="1"/>
  <c r="AS82" i="1" s="1"/>
  <c r="AP82" i="1" s="1"/>
  <c r="AU81" i="1"/>
  <c r="AC56" i="1"/>
  <c r="AF56" i="1" s="1"/>
  <c r="AT82" i="1" l="1"/>
  <c r="AQ83" i="1"/>
  <c r="AR83" i="1" s="1"/>
  <c r="AS83" i="1" s="1"/>
  <c r="AP83" i="1" s="1"/>
  <c r="AU82" i="1"/>
  <c r="AT83" i="1"/>
  <c r="AD56" i="1"/>
  <c r="AE56" i="1" s="1"/>
  <c r="AQ84" i="1" l="1"/>
  <c r="AR84" i="1" s="1"/>
  <c r="AS84" i="1" s="1"/>
  <c r="AP84" i="1" s="1"/>
  <c r="AG56" i="1"/>
  <c r="AB56" i="1"/>
  <c r="AT84" i="1"/>
  <c r="AU83" i="1"/>
  <c r="AQ85" i="1" l="1"/>
  <c r="AR85" i="1" s="1"/>
  <c r="AS85" i="1" s="1"/>
  <c r="AP85" i="1" s="1"/>
  <c r="AU84" i="1"/>
  <c r="AT85" i="1"/>
  <c r="AC57" i="1"/>
  <c r="AF57" i="1" s="1"/>
  <c r="AQ86" i="1" l="1"/>
  <c r="AR86" i="1" s="1"/>
  <c r="AS86" i="1" s="1"/>
  <c r="AP86" i="1" s="1"/>
  <c r="AD57" i="1"/>
  <c r="AE57" i="1" s="1"/>
  <c r="AT86" i="1"/>
  <c r="AU85" i="1"/>
  <c r="AQ87" i="1" l="1"/>
  <c r="AR87" i="1" s="1"/>
  <c r="AS87" i="1" s="1"/>
  <c r="AP87" i="1" s="1"/>
  <c r="AT87" i="1"/>
  <c r="AU86" i="1"/>
  <c r="AG57" i="1"/>
  <c r="AB57" i="1"/>
  <c r="AQ88" i="1" l="1"/>
  <c r="AR88" i="1" s="1"/>
  <c r="AS88" i="1" s="1"/>
  <c r="AP88" i="1" s="1"/>
  <c r="AC58" i="1"/>
  <c r="AF58" i="1" s="1"/>
  <c r="AU87" i="1"/>
  <c r="AQ89" i="1" l="1"/>
  <c r="AR89" i="1" s="1"/>
  <c r="AS89" i="1" s="1"/>
  <c r="AP89" i="1" s="1"/>
  <c r="AU88" i="1"/>
  <c r="AD58" i="1"/>
  <c r="AE58" i="1" s="1"/>
  <c r="AT88" i="1"/>
  <c r="AT89" i="1" s="1"/>
  <c r="AQ90" i="1" l="1"/>
  <c r="AR90" i="1" s="1"/>
  <c r="AS90" i="1" s="1"/>
  <c r="AP90" i="1" s="1"/>
  <c r="AU89" i="1"/>
  <c r="AG58" i="1"/>
  <c r="AB58" i="1"/>
  <c r="AQ91" i="1" l="1"/>
  <c r="AR91" i="1" s="1"/>
  <c r="AS91" i="1" s="1"/>
  <c r="AP91" i="1" s="1"/>
  <c r="AC59" i="1"/>
  <c r="AF59" i="1" s="1"/>
  <c r="AU90" i="1"/>
  <c r="AT90" i="1"/>
  <c r="AD59" i="1" l="1"/>
  <c r="AE59" i="1"/>
  <c r="AG59" i="1" s="1"/>
  <c r="AQ92" i="1"/>
  <c r="AR92" i="1" s="1"/>
  <c r="AS92" i="1" s="1"/>
  <c r="AP92" i="1" s="1"/>
  <c r="AU91" i="1"/>
  <c r="AB59" i="1"/>
  <c r="AT91" i="1"/>
  <c r="AT92" i="1" s="1"/>
  <c r="AQ93" i="1" l="1"/>
  <c r="AR93" i="1" s="1"/>
  <c r="AS93" i="1" s="1"/>
  <c r="AP93" i="1" s="1"/>
  <c r="AT93" i="1"/>
  <c r="AU92" i="1"/>
  <c r="AC60" i="1"/>
  <c r="AF60" i="1" s="1"/>
  <c r="AD60" i="1" l="1"/>
  <c r="AE60" i="1"/>
  <c r="AG60" i="1" s="1"/>
  <c r="AQ94" i="1"/>
  <c r="AR94" i="1" s="1"/>
  <c r="AS94" i="1" s="1"/>
  <c r="AP94" i="1" s="1"/>
  <c r="AT94" i="1"/>
  <c r="AU93" i="1"/>
  <c r="AB60" i="1" l="1"/>
  <c r="AQ95" i="1"/>
  <c r="AR95" i="1" s="1"/>
  <c r="AS95" i="1" s="1"/>
  <c r="AP95" i="1" s="1"/>
  <c r="AT95" i="1"/>
  <c r="AU94" i="1"/>
  <c r="AC61" i="1"/>
  <c r="AF61" i="1" s="1"/>
  <c r="AQ96" i="1" l="1"/>
  <c r="AR96" i="1" s="1"/>
  <c r="AS96" i="1" s="1"/>
  <c r="AP96" i="1" s="1"/>
  <c r="AD61" i="1"/>
  <c r="AE61" i="1" s="1"/>
  <c r="AU95" i="1"/>
  <c r="AT96" i="1"/>
  <c r="AQ97" i="1" l="1"/>
  <c r="AR97" i="1"/>
  <c r="AS97" i="1" s="1"/>
  <c r="AP97" i="1" s="1"/>
  <c r="AT97" i="1"/>
  <c r="AU96" i="1"/>
  <c r="AG61" i="1"/>
  <c r="AB61" i="1"/>
  <c r="AU97" i="1" l="1"/>
  <c r="AQ98" i="1"/>
  <c r="AR98" i="1" s="1"/>
  <c r="AS98" i="1" s="1"/>
  <c r="AC62" i="1"/>
  <c r="AF62" i="1" s="1"/>
  <c r="AT98" i="1"/>
  <c r="AU98" i="1" l="1"/>
  <c r="AP98" i="1"/>
  <c r="AD62" i="1"/>
  <c r="AE62" i="1" s="1"/>
  <c r="AQ99" i="1" l="1"/>
  <c r="AT99" i="1" s="1"/>
  <c r="AB62" i="1"/>
  <c r="AG62" i="1"/>
  <c r="AC63" i="1" l="1"/>
  <c r="AF63" i="1" s="1"/>
  <c r="AR99" i="1"/>
  <c r="AS99" i="1" s="1"/>
  <c r="AU99" i="1" l="1"/>
  <c r="AP99" i="1"/>
  <c r="AD63" i="1"/>
  <c r="AE63" i="1" s="1"/>
  <c r="AG63" i="1" l="1"/>
  <c r="AB63" i="1"/>
  <c r="AQ100" i="1"/>
  <c r="AT100" i="1" s="1"/>
  <c r="AR100" i="1" l="1"/>
  <c r="AS100" i="1" s="1"/>
  <c r="AC64" i="1"/>
  <c r="AF64" i="1" s="1"/>
  <c r="AP100" i="1" l="1"/>
  <c r="AU100" i="1"/>
  <c r="AD64" i="1"/>
  <c r="AE64" i="1" s="1"/>
  <c r="AB64" i="1" l="1"/>
  <c r="AG64" i="1"/>
  <c r="AQ101" i="1"/>
  <c r="AT101" i="1" s="1"/>
  <c r="AR101" i="1"/>
  <c r="AS101" i="1" s="1"/>
  <c r="AU101" i="1" s="1"/>
  <c r="AP101" i="1" l="1"/>
  <c r="AC65" i="1"/>
  <c r="AF65" i="1" s="1"/>
  <c r="AD65" i="1"/>
  <c r="AE65" i="1" l="1"/>
  <c r="AG65" i="1" s="1"/>
  <c r="AQ102" i="1"/>
  <c r="AT102" i="1" s="1"/>
  <c r="AB65" i="1" l="1"/>
  <c r="AC66" i="1" s="1"/>
  <c r="AF66" i="1" s="1"/>
  <c r="AR102" i="1"/>
  <c r="AS102" i="1" s="1"/>
  <c r="AD66" i="1" l="1"/>
  <c r="AE66" i="1" s="1"/>
  <c r="AG66" i="1" s="1"/>
  <c r="AU102" i="1"/>
  <c r="AP102" i="1"/>
  <c r="AB66" i="1" l="1"/>
  <c r="AC67" i="1" s="1"/>
  <c r="AF67" i="1" s="1"/>
  <c r="AQ103" i="1"/>
  <c r="AT103" i="1" s="1"/>
  <c r="AD67" i="1" l="1"/>
  <c r="AE67" i="1" s="1"/>
  <c r="AG67" i="1" s="1"/>
  <c r="AR103" i="1"/>
  <c r="AS103" i="1" s="1"/>
  <c r="AB67" i="1" l="1"/>
  <c r="AP103" i="1"/>
  <c r="AU103" i="1"/>
  <c r="AC68" i="1"/>
  <c r="AF68" i="1" s="1"/>
  <c r="AD68" i="1" l="1"/>
  <c r="AE68" i="1" s="1"/>
  <c r="AQ104" i="1"/>
  <c r="AT104" i="1" s="1"/>
  <c r="AG68" i="1" l="1"/>
  <c r="AB68" i="1"/>
  <c r="AR104" i="1"/>
  <c r="AS104" i="1" s="1"/>
  <c r="AU104" i="1" l="1"/>
  <c r="AP104" i="1"/>
  <c r="AC69" i="1"/>
  <c r="AF69" i="1" s="1"/>
  <c r="AD69" i="1"/>
  <c r="AE69" i="1" s="1"/>
  <c r="AB69" i="1" s="1"/>
  <c r="AC70" i="1" l="1"/>
  <c r="AD70" i="1" s="1"/>
  <c r="AE70" i="1" s="1"/>
  <c r="AB70" i="1" s="1"/>
  <c r="AG69" i="1"/>
  <c r="AF70" i="1"/>
  <c r="AQ105" i="1"/>
  <c r="AT105" i="1" s="1"/>
  <c r="AR105" i="1"/>
  <c r="AS105" i="1" s="1"/>
  <c r="AU105" i="1" s="1"/>
  <c r="AC71" i="1" l="1"/>
  <c r="AF71" i="1" s="1"/>
  <c r="AD71" i="1"/>
  <c r="AE71" i="1" s="1"/>
  <c r="AB71" i="1" s="1"/>
  <c r="AP105" i="1"/>
  <c r="AG70" i="1"/>
  <c r="AG71" i="1" l="1"/>
  <c r="AC72" i="1"/>
  <c r="AD72" i="1" s="1"/>
  <c r="AE72" i="1" s="1"/>
  <c r="AQ106" i="1"/>
  <c r="AT106" i="1" s="1"/>
  <c r="AF72" i="1"/>
  <c r="AB72" i="1" l="1"/>
  <c r="AG72" i="1"/>
  <c r="AR106" i="1"/>
  <c r="AS106" i="1" s="1"/>
  <c r="AU106" i="1" l="1"/>
  <c r="AP106" i="1"/>
  <c r="AC73" i="1"/>
  <c r="AF73" i="1" s="1"/>
  <c r="AD73" i="1"/>
  <c r="AE73" i="1" s="1"/>
  <c r="AG73" i="1" s="1"/>
  <c r="AB73" i="1" l="1"/>
  <c r="AQ107" i="1"/>
  <c r="AT107" i="1" s="1"/>
  <c r="AR107" i="1" l="1"/>
  <c r="AS107" i="1" s="1"/>
  <c r="AC74" i="1"/>
  <c r="AF74" i="1" s="1"/>
  <c r="AD74" i="1" l="1"/>
  <c r="AE74" i="1" s="1"/>
  <c r="AU107" i="1"/>
  <c r="AP107" i="1"/>
  <c r="AQ108" i="1" l="1"/>
  <c r="AT108" i="1" s="1"/>
  <c r="AG74" i="1"/>
  <c r="AB74" i="1"/>
  <c r="AC75" i="1" l="1"/>
  <c r="AF75" i="1" s="1"/>
  <c r="AR108" i="1"/>
  <c r="AS108" i="1" s="1"/>
  <c r="AP108" i="1" l="1"/>
  <c r="AU108" i="1"/>
  <c r="AD75" i="1"/>
  <c r="AE75" i="1" s="1"/>
  <c r="AB75" i="1" l="1"/>
  <c r="AG75" i="1"/>
  <c r="AQ109" i="1"/>
  <c r="AT109" i="1" s="1"/>
  <c r="AR109" i="1" l="1"/>
  <c r="AS109" i="1" s="1"/>
  <c r="AP109" i="1" s="1"/>
  <c r="AQ110" i="1" s="1"/>
  <c r="AR110" i="1" s="1"/>
  <c r="AS110" i="1" s="1"/>
  <c r="AP110" i="1" s="1"/>
  <c r="AC76" i="1"/>
  <c r="AF76" i="1" s="1"/>
  <c r="AU109" i="1" l="1"/>
  <c r="AQ111" i="1"/>
  <c r="AR111" i="1" s="1"/>
  <c r="AS111" i="1" s="1"/>
  <c r="AP111" i="1" s="1"/>
  <c r="AD76" i="1"/>
  <c r="AE76" i="1" s="1"/>
  <c r="AU110" i="1"/>
  <c r="AT110" i="1"/>
  <c r="AT111" i="1" s="1"/>
  <c r="AQ112" i="1" l="1"/>
  <c r="AR112" i="1" s="1"/>
  <c r="AS112" i="1" s="1"/>
  <c r="AP112" i="1" s="1"/>
  <c r="AU111" i="1"/>
  <c r="AB76" i="1"/>
  <c r="AG76" i="1"/>
  <c r="AT112" i="1" l="1"/>
  <c r="AQ113" i="1"/>
  <c r="AR113" i="1"/>
  <c r="AS113" i="1" s="1"/>
  <c r="AP113" i="1" s="1"/>
  <c r="AC77" i="1"/>
  <c r="AF77" i="1" s="1"/>
  <c r="AU112" i="1"/>
  <c r="AT113" i="1"/>
  <c r="AU113" i="1" l="1"/>
  <c r="AQ114" i="1"/>
  <c r="AR114" i="1" s="1"/>
  <c r="AS114" i="1" s="1"/>
  <c r="AD77" i="1"/>
  <c r="AE77" i="1" s="1"/>
  <c r="AT114" i="1" l="1"/>
  <c r="AP114" i="1"/>
  <c r="AU114" i="1"/>
  <c r="AG77" i="1"/>
  <c r="AB77" i="1"/>
  <c r="AC78" i="1" l="1"/>
  <c r="AF78" i="1" s="1"/>
  <c r="AQ115" i="1"/>
  <c r="AT115" i="1" s="1"/>
  <c r="AR115" i="1" l="1"/>
  <c r="AS115" i="1" s="1"/>
  <c r="AD78" i="1"/>
  <c r="AE78" i="1" s="1"/>
  <c r="AB78" i="1" l="1"/>
  <c r="AG78" i="1"/>
  <c r="AU115" i="1"/>
  <c r="AP115" i="1"/>
  <c r="AQ116" i="1" l="1"/>
  <c r="AT116" i="1" s="1"/>
  <c r="AC79" i="1"/>
  <c r="AF79" i="1" s="1"/>
  <c r="AD79" i="1" l="1"/>
  <c r="AE79" i="1" s="1"/>
  <c r="AR116" i="1"/>
  <c r="AS116" i="1" s="1"/>
  <c r="AP116" i="1" l="1"/>
  <c r="AU116" i="1"/>
  <c r="AG79" i="1"/>
  <c r="AB79" i="1"/>
  <c r="AC80" i="1" l="1"/>
  <c r="AF80" i="1" s="1"/>
  <c r="AQ117" i="1"/>
  <c r="AT117" i="1" s="1"/>
  <c r="AR117" i="1"/>
  <c r="AS117" i="1" l="1"/>
  <c r="AU117" i="1" s="1"/>
  <c r="AP117" i="1"/>
  <c r="AD80" i="1"/>
  <c r="AE80" i="1" s="1"/>
  <c r="AB80" i="1" l="1"/>
  <c r="AG80" i="1"/>
  <c r="AQ118" i="1"/>
  <c r="AT118" i="1" s="1"/>
  <c r="AR118" i="1" l="1"/>
  <c r="AS118" i="1" s="1"/>
  <c r="AC81" i="1"/>
  <c r="AF81" i="1" s="1"/>
  <c r="AU118" i="1" l="1"/>
  <c r="AP118" i="1"/>
  <c r="AD81" i="1"/>
  <c r="AE81" i="1" s="1"/>
  <c r="AG81" i="1" l="1"/>
  <c r="AB81" i="1"/>
  <c r="AQ119" i="1"/>
  <c r="AT119" i="1" s="1"/>
  <c r="AR119" i="1" l="1"/>
  <c r="AS119" i="1" s="1"/>
  <c r="AP119" i="1" s="1"/>
  <c r="AQ120" i="1" s="1"/>
  <c r="AR120" i="1" s="1"/>
  <c r="AS120" i="1" s="1"/>
  <c r="AP120" i="1" s="1"/>
  <c r="AC82" i="1"/>
  <c r="AF82" i="1" s="1"/>
  <c r="AU119" i="1" l="1"/>
  <c r="AT120" i="1"/>
  <c r="AQ121" i="1"/>
  <c r="AR121" i="1"/>
  <c r="AS121" i="1" s="1"/>
  <c r="AP121" i="1" s="1"/>
  <c r="AD82" i="1"/>
  <c r="AE82" i="1" s="1"/>
  <c r="AT121" i="1"/>
  <c r="AU120" i="1"/>
  <c r="AU121" i="1" s="1"/>
  <c r="AQ122" i="1" l="1"/>
  <c r="AR122" i="1" s="1"/>
  <c r="AS122" i="1" s="1"/>
  <c r="AG82" i="1"/>
  <c r="AB82" i="1"/>
  <c r="AT122" i="1" l="1"/>
  <c r="AP122" i="1"/>
  <c r="AU122" i="1"/>
  <c r="AC83" i="1"/>
  <c r="AF83" i="1" s="1"/>
  <c r="AD83" i="1" l="1"/>
  <c r="AE83" i="1" s="1"/>
  <c r="AQ123" i="1"/>
  <c r="AT123" i="1" s="1"/>
  <c r="AG83" i="1" l="1"/>
  <c r="AB83" i="1"/>
  <c r="AC84" i="1" s="1"/>
  <c r="AR123" i="1"/>
  <c r="AS123" i="1" s="1"/>
  <c r="AD84" i="1" l="1"/>
  <c r="AE84" i="1" s="1"/>
  <c r="AF84" i="1"/>
  <c r="AP123" i="1"/>
  <c r="AU123" i="1"/>
  <c r="AG84" i="1" l="1"/>
  <c r="AB84" i="1"/>
  <c r="AC85" i="1" s="1"/>
  <c r="AF85" i="1" s="1"/>
  <c r="AQ124" i="1"/>
  <c r="AT124" i="1" s="1"/>
  <c r="AD85" i="1" l="1"/>
  <c r="AE85" i="1" s="1"/>
  <c r="AG85" i="1" s="1"/>
  <c r="AR124" i="1"/>
  <c r="AS124" i="1" s="1"/>
  <c r="AB85" i="1" l="1"/>
  <c r="AC86" i="1"/>
  <c r="AF86" i="1" s="1"/>
  <c r="AU124" i="1"/>
  <c r="AP124" i="1"/>
  <c r="AQ125" i="1" l="1"/>
  <c r="AT125" i="1" s="1"/>
  <c r="AD86" i="1"/>
  <c r="AE86" i="1" s="1"/>
  <c r="AR125" i="1" l="1"/>
  <c r="AS125" i="1" s="1"/>
  <c r="AP125" i="1" s="1"/>
  <c r="AQ126" i="1" s="1"/>
  <c r="AB86" i="1"/>
  <c r="AG86" i="1"/>
  <c r="AR126" i="1" l="1"/>
  <c r="AS126" i="1" s="1"/>
  <c r="AP126" i="1" s="1"/>
  <c r="AQ127" i="1" s="1"/>
  <c r="AR127" i="1" s="1"/>
  <c r="AS127" i="1" s="1"/>
  <c r="AP127" i="1" s="1"/>
  <c r="AT126" i="1"/>
  <c r="AT127" i="1" s="1"/>
  <c r="AU125" i="1"/>
  <c r="AU126" i="1" s="1"/>
  <c r="AC87" i="1"/>
  <c r="AF87" i="1" s="1"/>
  <c r="AQ128" i="1" l="1"/>
  <c r="AR128" i="1" s="1"/>
  <c r="AS128" i="1" s="1"/>
  <c r="AP128" i="1" s="1"/>
  <c r="AD87" i="1"/>
  <c r="AE87" i="1" s="1"/>
  <c r="AU127" i="1"/>
  <c r="AT128" i="1" l="1"/>
  <c r="AQ129" i="1"/>
  <c r="AR129" i="1"/>
  <c r="AS129" i="1" s="1"/>
  <c r="AP129" i="1" s="1"/>
  <c r="AT129" i="1"/>
  <c r="AU128" i="1"/>
  <c r="AB87" i="1"/>
  <c r="AG87" i="1"/>
  <c r="AU129" i="1" l="1"/>
  <c r="AQ130" i="1"/>
  <c r="AR130" i="1" s="1"/>
  <c r="AS130" i="1" s="1"/>
  <c r="AC88" i="1"/>
  <c r="AF88" i="1" s="1"/>
  <c r="AP130" i="1" l="1"/>
  <c r="AU130" i="1"/>
  <c r="AD88" i="1"/>
  <c r="AE88" i="1" s="1"/>
  <c r="AT130" i="1"/>
  <c r="AG88" i="1" l="1"/>
  <c r="AB88" i="1"/>
  <c r="AQ131" i="1"/>
  <c r="AT131" i="1" s="1"/>
  <c r="AR131" i="1" l="1"/>
  <c r="AS131" i="1" s="1"/>
  <c r="AC89" i="1"/>
  <c r="AF89" i="1" s="1"/>
  <c r="AD89" i="1" l="1"/>
  <c r="AE89" i="1" s="1"/>
  <c r="AB89" i="1" s="1"/>
  <c r="AC90" i="1" s="1"/>
  <c r="AU131" i="1"/>
  <c r="AP131" i="1"/>
  <c r="AD90" i="1" l="1"/>
  <c r="AE90" i="1" s="1"/>
  <c r="AB90" i="1" s="1"/>
  <c r="AC91" i="1" s="1"/>
  <c r="AD91" i="1" s="1"/>
  <c r="AE91" i="1" s="1"/>
  <c r="AB91" i="1" s="1"/>
  <c r="AF90" i="1"/>
  <c r="AG89" i="1"/>
  <c r="AQ132" i="1"/>
  <c r="AT132" i="1" s="1"/>
  <c r="AG90" i="1" l="1"/>
  <c r="AC92" i="1"/>
  <c r="AD92" i="1" s="1"/>
  <c r="AE92" i="1" s="1"/>
  <c r="AB92" i="1" s="1"/>
  <c r="AR132" i="1"/>
  <c r="AS132" i="1" s="1"/>
  <c r="AG91" i="1"/>
  <c r="AF91" i="1"/>
  <c r="AF92" i="1" s="1"/>
  <c r="AC93" i="1" l="1"/>
  <c r="AD93" i="1" s="1"/>
  <c r="AE93" i="1" s="1"/>
  <c r="AB93" i="1" s="1"/>
  <c r="AG92" i="1"/>
  <c r="AP132" i="1"/>
  <c r="AU132" i="1"/>
  <c r="AF93" i="1" l="1"/>
  <c r="AC94" i="1"/>
  <c r="AD94" i="1" s="1"/>
  <c r="AE94" i="1" s="1"/>
  <c r="AB94" i="1" s="1"/>
  <c r="AQ133" i="1"/>
  <c r="AT133" i="1" s="1"/>
  <c r="AG93" i="1"/>
  <c r="AR133" i="1" l="1"/>
  <c r="AS133" i="1" s="1"/>
  <c r="AU133" i="1" s="1"/>
  <c r="AC95" i="1"/>
  <c r="AD95" i="1" s="1"/>
  <c r="AE95" i="1" s="1"/>
  <c r="AB95" i="1" s="1"/>
  <c r="AF94" i="1"/>
  <c r="AG94" i="1"/>
  <c r="AF95" i="1" l="1"/>
  <c r="AP133" i="1"/>
  <c r="AQ134" i="1" s="1"/>
  <c r="AT134" i="1" s="1"/>
  <c r="AC96" i="1"/>
  <c r="AD96" i="1" s="1"/>
  <c r="AE96" i="1" s="1"/>
  <c r="AB96" i="1" s="1"/>
  <c r="AG95" i="1"/>
  <c r="AF96" i="1" l="1"/>
  <c r="AG96" i="1"/>
  <c r="AC97" i="1"/>
  <c r="AD97" i="1" s="1"/>
  <c r="AE97" i="1" s="1"/>
  <c r="AR134" i="1"/>
  <c r="AS134" i="1" s="1"/>
  <c r="AF97" i="1" l="1"/>
  <c r="AB97" i="1"/>
  <c r="AG97" i="1"/>
  <c r="AU134" i="1"/>
  <c r="AP134" i="1"/>
  <c r="AC98" i="1" l="1"/>
  <c r="AF98" i="1" s="1"/>
  <c r="AQ135" i="1"/>
  <c r="AT135" i="1" s="1"/>
  <c r="AR135" i="1" l="1"/>
  <c r="AS135" i="1" s="1"/>
  <c r="AD98" i="1"/>
  <c r="AE98" i="1" s="1"/>
  <c r="AB98" i="1" l="1"/>
  <c r="AG98" i="1"/>
  <c r="AU135" i="1"/>
  <c r="AP135" i="1"/>
  <c r="AQ136" i="1" l="1"/>
  <c r="AT136" i="1" s="1"/>
  <c r="AC99" i="1"/>
  <c r="AF99" i="1" s="1"/>
  <c r="AD99" i="1" l="1"/>
  <c r="AE99" i="1" s="1"/>
  <c r="AR136" i="1"/>
  <c r="AS136" i="1" s="1"/>
  <c r="AP136" i="1" l="1"/>
  <c r="AU136" i="1"/>
  <c r="AG99" i="1"/>
  <c r="AB99" i="1"/>
  <c r="AC100" i="1" l="1"/>
  <c r="AF100" i="1" s="1"/>
  <c r="AD100" i="1"/>
  <c r="AE100" i="1" s="1"/>
  <c r="AG100" i="1" s="1"/>
  <c r="AQ137" i="1"/>
  <c r="AT137" i="1" s="1"/>
  <c r="AR137" i="1" l="1"/>
  <c r="AS137" i="1" s="1"/>
  <c r="AB100" i="1"/>
  <c r="AP137" i="1" l="1"/>
  <c r="AQ138" i="1" s="1"/>
  <c r="AR138" i="1" s="1"/>
  <c r="AS138" i="1" s="1"/>
  <c r="AP138" i="1" s="1"/>
  <c r="AQ139" i="1" s="1"/>
  <c r="AR139" i="1" s="1"/>
  <c r="AS139" i="1" s="1"/>
  <c r="AP139" i="1" s="1"/>
  <c r="AU137" i="1"/>
  <c r="AC101" i="1"/>
  <c r="AF101" i="1" s="1"/>
  <c r="AU138" i="1" l="1"/>
  <c r="AU139" i="1" s="1"/>
  <c r="AT138" i="1"/>
  <c r="AT139" i="1" s="1"/>
  <c r="AQ140" i="1"/>
  <c r="AR140" i="1" s="1"/>
  <c r="AS140" i="1" s="1"/>
  <c r="AP140" i="1" s="1"/>
  <c r="AD101" i="1"/>
  <c r="AE101" i="1" s="1"/>
  <c r="AT140" i="1" l="1"/>
  <c r="AQ141" i="1"/>
  <c r="AR141" i="1"/>
  <c r="AS141" i="1" s="1"/>
  <c r="AP141" i="1" s="1"/>
  <c r="AU140" i="1"/>
  <c r="AG101" i="1"/>
  <c r="AB101" i="1"/>
  <c r="AT141" i="1"/>
  <c r="AU141" i="1" l="1"/>
  <c r="AQ142" i="1"/>
  <c r="AR142" i="1" s="1"/>
  <c r="AS142" i="1" s="1"/>
  <c r="AC102" i="1"/>
  <c r="AF102" i="1" s="1"/>
  <c r="AT142" i="1" l="1"/>
  <c r="AP142" i="1"/>
  <c r="AU142" i="1"/>
  <c r="AD102" i="1"/>
  <c r="AE102" i="1" s="1"/>
  <c r="AG102" i="1" l="1"/>
  <c r="AB102" i="1"/>
  <c r="AQ143" i="1"/>
  <c r="AT143" i="1" s="1"/>
  <c r="AR143" i="1" l="1"/>
  <c r="AS143" i="1" s="1"/>
  <c r="AC103" i="1"/>
  <c r="AF103" i="1" s="1"/>
  <c r="AD103" i="1" l="1"/>
  <c r="AE103" i="1" s="1"/>
  <c r="AB103" i="1" s="1"/>
  <c r="AC104" i="1" s="1"/>
  <c r="AD104" i="1" s="1"/>
  <c r="AE104" i="1" s="1"/>
  <c r="AB104" i="1" s="1"/>
  <c r="AP143" i="1"/>
  <c r="AU143" i="1"/>
  <c r="AG103" i="1" l="1"/>
  <c r="AG104" i="1" s="1"/>
  <c r="AF104" i="1"/>
  <c r="AC105" i="1"/>
  <c r="AF105" i="1" s="1"/>
  <c r="AQ144" i="1"/>
  <c r="AT144" i="1" s="1"/>
  <c r="AD105" i="1" l="1"/>
  <c r="AE105" i="1" s="1"/>
  <c r="AB105" i="1" s="1"/>
  <c r="AC106" i="1" s="1"/>
  <c r="AD106" i="1" s="1"/>
  <c r="AE106" i="1" s="1"/>
  <c r="AR144" i="1"/>
  <c r="AS144" i="1" s="1"/>
  <c r="AG105" i="1" l="1"/>
  <c r="AF106" i="1"/>
  <c r="AB106" i="1"/>
  <c r="AG106" i="1"/>
  <c r="AP144" i="1"/>
  <c r="AU144" i="1"/>
  <c r="AQ145" i="1" l="1"/>
  <c r="AT145" i="1" s="1"/>
  <c r="AC107" i="1"/>
  <c r="AF107" i="1" s="1"/>
  <c r="AD107" i="1" l="1"/>
  <c r="AE107" i="1" s="1"/>
  <c r="AR145" i="1"/>
  <c r="AS145" i="1" s="1"/>
  <c r="AP145" i="1" l="1"/>
  <c r="AU145" i="1"/>
  <c r="AG107" i="1"/>
  <c r="AB107" i="1"/>
  <c r="AC108" i="1" l="1"/>
  <c r="AF108" i="1" s="1"/>
  <c r="AQ146" i="1"/>
  <c r="AT146" i="1" s="1"/>
  <c r="AR146" i="1" l="1"/>
  <c r="AS146" i="1" s="1"/>
  <c r="AD108" i="1"/>
  <c r="AE108" i="1" s="1"/>
  <c r="AG108" i="1" l="1"/>
  <c r="AB108" i="1"/>
  <c r="AU146" i="1"/>
  <c r="AP146" i="1"/>
  <c r="AQ147" i="1" l="1"/>
  <c r="AT147" i="1" s="1"/>
  <c r="AR147" i="1"/>
  <c r="AS147" i="1" s="1"/>
  <c r="AP147" i="1" s="1"/>
  <c r="AC109" i="1"/>
  <c r="AF109" i="1" s="1"/>
  <c r="AQ148" i="1" l="1"/>
  <c r="AR148" i="1" s="1"/>
  <c r="AS148" i="1" s="1"/>
  <c r="AP148" i="1" s="1"/>
  <c r="AD109" i="1"/>
  <c r="AE109" i="1" s="1"/>
  <c r="AU147" i="1"/>
  <c r="AT148" i="1" l="1"/>
  <c r="AQ149" i="1"/>
  <c r="AR149" i="1" s="1"/>
  <c r="AS149" i="1" s="1"/>
  <c r="AP149" i="1" s="1"/>
  <c r="AU148" i="1"/>
  <c r="AB109" i="1"/>
  <c r="AG109" i="1"/>
  <c r="AT149" i="1" l="1"/>
  <c r="AQ150" i="1"/>
  <c r="AR150" i="1" s="1"/>
  <c r="AS150" i="1" s="1"/>
  <c r="AP150" i="1" s="1"/>
  <c r="AU149" i="1"/>
  <c r="AC110" i="1"/>
  <c r="AF110" i="1" s="1"/>
  <c r="AD110" i="1" l="1"/>
  <c r="AE110" i="1" s="1"/>
  <c r="AB110" i="1" s="1"/>
  <c r="AC111" i="1"/>
  <c r="AD111" i="1" s="1"/>
  <c r="AE111" i="1" s="1"/>
  <c r="AB111" i="1" s="1"/>
  <c r="AQ151" i="1"/>
  <c r="AR151" i="1" s="1"/>
  <c r="AS151" i="1" s="1"/>
  <c r="AP151" i="1" s="1"/>
  <c r="AU150" i="1"/>
  <c r="AT150" i="1"/>
  <c r="AF111" i="1" l="1"/>
  <c r="AG110" i="1"/>
  <c r="AQ152" i="1"/>
  <c r="AR152" i="1" s="1"/>
  <c r="AS152" i="1" s="1"/>
  <c r="AP152" i="1" s="1"/>
  <c r="AC112" i="1"/>
  <c r="AD112" i="1" s="1"/>
  <c r="AE112" i="1" s="1"/>
  <c r="AB112" i="1" s="1"/>
  <c r="AG111" i="1"/>
  <c r="AT151" i="1"/>
  <c r="AU151" i="1"/>
  <c r="AF112" i="1" l="1"/>
  <c r="AC113" i="1"/>
  <c r="AD113" i="1" s="1"/>
  <c r="AE113" i="1" s="1"/>
  <c r="AB113" i="1" s="1"/>
  <c r="AQ153" i="1"/>
  <c r="AR153" i="1" s="1"/>
  <c r="AS153" i="1" s="1"/>
  <c r="AP153" i="1" s="1"/>
  <c r="AF113" i="1"/>
  <c r="AU152" i="1"/>
  <c r="AG112" i="1"/>
  <c r="AT152" i="1"/>
  <c r="AQ154" i="1" l="1"/>
  <c r="AR154" i="1" s="1"/>
  <c r="AS154" i="1" s="1"/>
  <c r="AP154" i="1" s="1"/>
  <c r="AC114" i="1"/>
  <c r="AD114" i="1" s="1"/>
  <c r="AE114" i="1" s="1"/>
  <c r="AB114" i="1" s="1"/>
  <c r="AT153" i="1"/>
  <c r="AT154" i="1" s="1"/>
  <c r="AU153" i="1"/>
  <c r="AG113" i="1"/>
  <c r="AF114" i="1" l="1"/>
  <c r="AC115" i="1"/>
  <c r="AD115" i="1" s="1"/>
  <c r="AE115" i="1" s="1"/>
  <c r="AB115" i="1" s="1"/>
  <c r="AQ155" i="1"/>
  <c r="AT155" i="1" s="1"/>
  <c r="AF115" i="1"/>
  <c r="AG114" i="1"/>
  <c r="AU154" i="1"/>
  <c r="AC116" i="1" l="1"/>
  <c r="AD116" i="1" s="1"/>
  <c r="AE116" i="1" s="1"/>
  <c r="AB116" i="1" s="1"/>
  <c r="AG115" i="1"/>
  <c r="AR155" i="1"/>
  <c r="AS155" i="1" s="1"/>
  <c r="AP155" i="1" s="1"/>
  <c r="AF116" i="1" l="1"/>
  <c r="AC117" i="1"/>
  <c r="AF117" i="1" s="1"/>
  <c r="AQ156" i="1"/>
  <c r="AT156" i="1" s="1"/>
  <c r="AU155" i="1"/>
  <c r="AG116" i="1"/>
  <c r="AR156" i="1" l="1"/>
  <c r="AS156" i="1" s="1"/>
  <c r="AP156" i="1" s="1"/>
  <c r="AD117" i="1"/>
  <c r="AE117" i="1" s="1"/>
  <c r="AB117" i="1" s="1"/>
  <c r="AC118" i="1" l="1"/>
  <c r="AF118" i="1" s="1"/>
  <c r="AQ157" i="1"/>
  <c r="AT157" i="1" s="1"/>
  <c r="AU156" i="1"/>
  <c r="AG117" i="1"/>
  <c r="AR157" i="1" l="1"/>
  <c r="AS157" i="1" s="1"/>
  <c r="AP157" i="1" s="1"/>
  <c r="AD118" i="1"/>
  <c r="AE118" i="1" s="1"/>
  <c r="AB118" i="1" s="1"/>
  <c r="AC119" i="1" l="1"/>
  <c r="AF119" i="1" s="1"/>
  <c r="AQ158" i="1"/>
  <c r="AT158" i="1" s="1"/>
  <c r="AU157" i="1"/>
  <c r="AG118" i="1"/>
  <c r="AR158" i="1" l="1"/>
  <c r="AS158" i="1" s="1"/>
  <c r="AP158" i="1" s="1"/>
  <c r="AD119" i="1"/>
  <c r="AE119" i="1" s="1"/>
  <c r="AB119" i="1" s="1"/>
  <c r="AC120" i="1" l="1"/>
  <c r="AF120" i="1" s="1"/>
  <c r="AQ159" i="1"/>
  <c r="AT159" i="1" s="1"/>
  <c r="AU158" i="1"/>
  <c r="AG119" i="1"/>
  <c r="AR159" i="1" l="1"/>
  <c r="AS159" i="1" s="1"/>
  <c r="AP159" i="1" s="1"/>
  <c r="AD120" i="1"/>
  <c r="AE120" i="1" s="1"/>
  <c r="AB120" i="1" s="1"/>
  <c r="AC121" i="1" l="1"/>
  <c r="AF121" i="1" s="1"/>
  <c r="AD121" i="1"/>
  <c r="AE121" i="1" s="1"/>
  <c r="AB121" i="1" s="1"/>
  <c r="AQ160" i="1"/>
  <c r="AT160" i="1" s="1"/>
  <c r="AU159" i="1"/>
  <c r="AG120" i="1"/>
  <c r="AG121" i="1" l="1"/>
  <c r="AC122" i="1"/>
  <c r="AD122" i="1" s="1"/>
  <c r="AE122" i="1" s="1"/>
  <c r="AR160" i="1"/>
  <c r="AS160" i="1" s="1"/>
  <c r="AP160" i="1" s="1"/>
  <c r="AF122" i="1"/>
  <c r="AB122" i="1" l="1"/>
  <c r="AG122" i="1"/>
  <c r="AU160" i="1"/>
  <c r="AQ161" i="1"/>
  <c r="AT161" i="1" s="1"/>
  <c r="AR161" i="1" l="1"/>
  <c r="AS161" i="1" s="1"/>
  <c r="AP161" i="1" s="1"/>
  <c r="AC123" i="1"/>
  <c r="AF123" i="1" s="1"/>
  <c r="AU161" i="1" l="1"/>
  <c r="AD123" i="1"/>
  <c r="AE123" i="1" s="1"/>
  <c r="AQ162" i="1"/>
  <c r="AT162" i="1" s="1"/>
  <c r="AR162" i="1" l="1"/>
  <c r="AS162" i="1" s="1"/>
  <c r="AU162" i="1" s="1"/>
  <c r="AG123" i="1"/>
  <c r="AB123" i="1"/>
  <c r="AP162" i="1" l="1"/>
  <c r="AQ163" i="1" s="1"/>
  <c r="AT163" i="1" s="1"/>
  <c r="AC124" i="1"/>
  <c r="AF124" i="1" s="1"/>
  <c r="AR163" i="1" l="1"/>
  <c r="AS163" i="1" s="1"/>
  <c r="AD124" i="1"/>
  <c r="AE124" i="1" s="1"/>
  <c r="AB124" i="1" l="1"/>
  <c r="AG124" i="1"/>
  <c r="AU163" i="1"/>
  <c r="AP163" i="1"/>
  <c r="AQ164" i="1" l="1"/>
  <c r="AT164" i="1" s="1"/>
  <c r="AC125" i="1"/>
  <c r="AF125" i="1" s="1"/>
  <c r="AD125" i="1" l="1"/>
  <c r="AE125" i="1" s="1"/>
  <c r="AR164" i="1"/>
  <c r="AS164" i="1" s="1"/>
  <c r="AU164" i="1" l="1"/>
  <c r="AP164" i="1"/>
  <c r="AG125" i="1"/>
  <c r="AB125" i="1"/>
  <c r="AC126" i="1" l="1"/>
  <c r="AF126" i="1" s="1"/>
  <c r="AQ165" i="1"/>
  <c r="AT165" i="1" s="1"/>
  <c r="AR165" i="1" l="1"/>
  <c r="AS165" i="1" s="1"/>
  <c r="AD126" i="1"/>
  <c r="AE126" i="1" s="1"/>
  <c r="AB126" i="1" l="1"/>
  <c r="AG126" i="1"/>
  <c r="AP165" i="1"/>
  <c r="AU165" i="1"/>
  <c r="AQ166" i="1" l="1"/>
  <c r="AT166" i="1" s="1"/>
  <c r="AC127" i="1"/>
  <c r="AF127" i="1" s="1"/>
  <c r="AD127" i="1" l="1"/>
  <c r="AE127" i="1" s="1"/>
  <c r="AR166" i="1"/>
  <c r="AS166" i="1" s="1"/>
  <c r="AU166" i="1" l="1"/>
  <c r="AP166" i="1"/>
  <c r="AG127" i="1"/>
  <c r="AB127" i="1"/>
  <c r="AC128" i="1" l="1"/>
  <c r="AF128" i="1" s="1"/>
  <c r="AQ167" i="1"/>
  <c r="AT167" i="1" s="1"/>
  <c r="AR167" i="1" l="1"/>
  <c r="AS167" i="1" s="1"/>
  <c r="AP167" i="1" s="1"/>
  <c r="AQ168" i="1" s="1"/>
  <c r="AD128" i="1"/>
  <c r="AE128" i="1" s="1"/>
  <c r="AR168" i="1" l="1"/>
  <c r="AS168" i="1" s="1"/>
  <c r="AP168" i="1" s="1"/>
  <c r="AQ169" i="1" s="1"/>
  <c r="AT168" i="1"/>
  <c r="AU167" i="1"/>
  <c r="AG128" i="1"/>
  <c r="AB128" i="1"/>
  <c r="AR169" i="1" l="1"/>
  <c r="AS169" i="1" s="1"/>
  <c r="AP169" i="1" s="1"/>
  <c r="AQ170" i="1" s="1"/>
  <c r="AR170" i="1" s="1"/>
  <c r="AS170" i="1" s="1"/>
  <c r="AP170" i="1" s="1"/>
  <c r="AT169" i="1"/>
  <c r="AU168" i="1"/>
  <c r="AC129" i="1"/>
  <c r="AF129" i="1" s="1"/>
  <c r="AU169" i="1" l="1"/>
  <c r="AQ171" i="1"/>
  <c r="AR171" i="1" s="1"/>
  <c r="AS171" i="1" s="1"/>
  <c r="AP171" i="1" s="1"/>
  <c r="AD129" i="1"/>
  <c r="AE129" i="1" s="1"/>
  <c r="AU170" i="1"/>
  <c r="AT170" i="1"/>
  <c r="AT171" i="1" s="1"/>
  <c r="AQ172" i="1" l="1"/>
  <c r="AR172" i="1" s="1"/>
  <c r="AS172" i="1" s="1"/>
  <c r="AP172" i="1" s="1"/>
  <c r="AU171" i="1"/>
  <c r="AG129" i="1"/>
  <c r="AB129" i="1"/>
  <c r="AT172" i="1" l="1"/>
  <c r="AQ173" i="1"/>
  <c r="AR173" i="1" s="1"/>
  <c r="AS173" i="1" s="1"/>
  <c r="AP173" i="1" s="1"/>
  <c r="AC130" i="1"/>
  <c r="AF130" i="1" s="1"/>
  <c r="AU172" i="1"/>
  <c r="AT173" i="1" l="1"/>
  <c r="AD130" i="1"/>
  <c r="AE130" i="1" s="1"/>
  <c r="AG130" i="1" s="1"/>
  <c r="AQ174" i="1"/>
  <c r="AR174" i="1" s="1"/>
  <c r="AS174" i="1" s="1"/>
  <c r="AP174" i="1" s="1"/>
  <c r="AU173" i="1"/>
  <c r="AB130" i="1" l="1"/>
  <c r="AT174" i="1"/>
  <c r="AQ175" i="1"/>
  <c r="AR175" i="1" s="1"/>
  <c r="AS175" i="1" s="1"/>
  <c r="AP175" i="1" s="1"/>
  <c r="AU174" i="1"/>
  <c r="AC131" i="1"/>
  <c r="AF131" i="1" s="1"/>
  <c r="AT175" i="1" l="1"/>
  <c r="AQ176" i="1"/>
  <c r="AR176" i="1" s="1"/>
  <c r="AS176" i="1" s="1"/>
  <c r="AP176" i="1" s="1"/>
  <c r="AD131" i="1"/>
  <c r="AE131" i="1" s="1"/>
  <c r="AU175" i="1"/>
  <c r="AT176" i="1" l="1"/>
  <c r="AQ177" i="1"/>
  <c r="AR177" i="1" s="1"/>
  <c r="AS177" i="1" s="1"/>
  <c r="AP177" i="1" s="1"/>
  <c r="AU176" i="1"/>
  <c r="AG131" i="1"/>
  <c r="AB131" i="1"/>
  <c r="AT177" i="1" l="1"/>
  <c r="AQ178" i="1"/>
  <c r="AR178" i="1" s="1"/>
  <c r="AS178" i="1" s="1"/>
  <c r="AP178" i="1" s="1"/>
  <c r="AC132" i="1"/>
  <c r="AF132" i="1" s="1"/>
  <c r="AU177" i="1"/>
  <c r="AT178" i="1" l="1"/>
  <c r="AD132" i="1"/>
  <c r="AE132" i="1" s="1"/>
  <c r="AB132" i="1" s="1"/>
  <c r="AC133" i="1" s="1"/>
  <c r="AF133" i="1" s="1"/>
  <c r="AQ179" i="1"/>
  <c r="AR179" i="1" s="1"/>
  <c r="AS179" i="1" s="1"/>
  <c r="AP179" i="1" s="1"/>
  <c r="AU178" i="1"/>
  <c r="AT179" i="1" l="1"/>
  <c r="AG132" i="1"/>
  <c r="AQ180" i="1"/>
  <c r="AR180" i="1" s="1"/>
  <c r="AS180" i="1" s="1"/>
  <c r="AP180" i="1" s="1"/>
  <c r="AU179" i="1"/>
  <c r="AD133" i="1"/>
  <c r="AE133" i="1" s="1"/>
  <c r="AB133" i="1" s="1"/>
  <c r="AT180" i="1" l="1"/>
  <c r="AQ181" i="1"/>
  <c r="AR181" i="1" s="1"/>
  <c r="AS181" i="1" s="1"/>
  <c r="AP181" i="1" s="1"/>
  <c r="AU180" i="1"/>
  <c r="AG133" i="1"/>
  <c r="AC134" i="1"/>
  <c r="AF134" i="1" s="1"/>
  <c r="AQ182" i="1" l="1"/>
  <c r="AR182" i="1" s="1"/>
  <c r="AS182" i="1" s="1"/>
  <c r="AP182" i="1" s="1"/>
  <c r="AD134" i="1"/>
  <c r="AE134" i="1" s="1"/>
  <c r="AB134" i="1" s="1"/>
  <c r="AU181" i="1"/>
  <c r="AT181" i="1"/>
  <c r="AT182" i="1" l="1"/>
  <c r="AQ183" i="1"/>
  <c r="AR183" i="1" s="1"/>
  <c r="AS183" i="1" s="1"/>
  <c r="AP183" i="1" s="1"/>
  <c r="AU182" i="1"/>
  <c r="AC135" i="1"/>
  <c r="AF135" i="1" s="1"/>
  <c r="AG134" i="1"/>
  <c r="AT183" i="1" l="1"/>
  <c r="AQ184" i="1"/>
  <c r="AR184" i="1" s="1"/>
  <c r="AS184" i="1" s="1"/>
  <c r="AP184" i="1" s="1"/>
  <c r="AD135" i="1"/>
  <c r="AE135" i="1" s="1"/>
  <c r="AB135" i="1" s="1"/>
  <c r="AU183" i="1"/>
  <c r="AT184" i="1" l="1"/>
  <c r="AG135" i="1"/>
  <c r="AQ185" i="1"/>
  <c r="AR185" i="1" s="1"/>
  <c r="AS185" i="1" s="1"/>
  <c r="AP185" i="1" s="1"/>
  <c r="AU184" i="1"/>
  <c r="AT185" i="1"/>
  <c r="AC136" i="1"/>
  <c r="AF136" i="1" s="1"/>
  <c r="AQ186" i="1" l="1"/>
  <c r="AR186" i="1" s="1"/>
  <c r="AS186" i="1" s="1"/>
  <c r="AP186" i="1" s="1"/>
  <c r="AU185" i="1"/>
  <c r="AD136" i="1"/>
  <c r="AE136" i="1" s="1"/>
  <c r="AT186" i="1" l="1"/>
  <c r="AQ187" i="1"/>
  <c r="AR187" i="1" s="1"/>
  <c r="AS187" i="1" s="1"/>
  <c r="AP187" i="1" s="1"/>
  <c r="AB136" i="1"/>
  <c r="AG136" i="1"/>
  <c r="AU186" i="1"/>
  <c r="AT187" i="1" l="1"/>
  <c r="AQ188" i="1"/>
  <c r="AR188" i="1" s="1"/>
  <c r="AS188" i="1" s="1"/>
  <c r="AP188" i="1" s="1"/>
  <c r="AU187" i="1"/>
  <c r="AC137" i="1"/>
  <c r="AF137" i="1" s="1"/>
  <c r="AT188" i="1" l="1"/>
  <c r="AQ189" i="1"/>
  <c r="AR189" i="1" s="1"/>
  <c r="AS189" i="1" s="1"/>
  <c r="AP189" i="1" s="1"/>
  <c r="AU188" i="1"/>
  <c r="AD137" i="1"/>
  <c r="AE137" i="1" s="1"/>
  <c r="AT189" i="1" l="1"/>
  <c r="AQ190" i="1"/>
  <c r="AR190" i="1" s="1"/>
  <c r="AS190" i="1" s="1"/>
  <c r="AP190" i="1" s="1"/>
  <c r="AB137" i="1"/>
  <c r="AG137" i="1"/>
  <c r="AU189" i="1"/>
  <c r="AT190" i="1" l="1"/>
  <c r="AQ191" i="1"/>
  <c r="AC138" i="1"/>
  <c r="AF138" i="1" s="1"/>
  <c r="AU190" i="1"/>
  <c r="AT191" i="1" l="1"/>
  <c r="AD138" i="1"/>
  <c r="AE138" i="1" s="1"/>
  <c r="AB138" i="1" s="1"/>
  <c r="AC139" i="1" s="1"/>
  <c r="AD139" i="1" s="1"/>
  <c r="AE139" i="1" s="1"/>
  <c r="AB139" i="1" s="1"/>
  <c r="AR191" i="1"/>
  <c r="AS191" i="1" s="1"/>
  <c r="AP191" i="1" s="1"/>
  <c r="AG138" i="1" l="1"/>
  <c r="AG139" i="1" s="1"/>
  <c r="AF139" i="1"/>
  <c r="AC140" i="1"/>
  <c r="AD140" i="1" s="1"/>
  <c r="AE140" i="1" s="1"/>
  <c r="AB140" i="1" s="1"/>
  <c r="AQ192" i="1"/>
  <c r="AT192" i="1" s="1"/>
  <c r="AF140" i="1"/>
  <c r="AU191" i="1"/>
  <c r="AC141" i="1" l="1"/>
  <c r="AD141" i="1" s="1"/>
  <c r="AE141" i="1" s="1"/>
  <c r="AB141" i="1" s="1"/>
  <c r="AR192" i="1"/>
  <c r="AS192" i="1" s="1"/>
  <c r="AP192" i="1" s="1"/>
  <c r="AG140" i="1"/>
  <c r="AF141" i="1" l="1"/>
  <c r="AC142" i="1"/>
  <c r="AD142" i="1" s="1"/>
  <c r="AE142" i="1" s="1"/>
  <c r="AB142" i="1" s="1"/>
  <c r="AQ193" i="1"/>
  <c r="AT193" i="1" s="1"/>
  <c r="AU192" i="1"/>
  <c r="AG141" i="1"/>
  <c r="AC143" i="1" l="1"/>
  <c r="AD143" i="1" s="1"/>
  <c r="AE143" i="1" s="1"/>
  <c r="AB143" i="1" s="1"/>
  <c r="AG142" i="1"/>
  <c r="AR193" i="1"/>
  <c r="AS193" i="1" s="1"/>
  <c r="AP193" i="1" s="1"/>
  <c r="AF142" i="1"/>
  <c r="AF143" i="1" l="1"/>
  <c r="AC144" i="1"/>
  <c r="AD144" i="1" s="1"/>
  <c r="AE144" i="1" s="1"/>
  <c r="AB144" i="1" s="1"/>
  <c r="AU193" i="1"/>
  <c r="AQ194" i="1"/>
  <c r="AT194" i="1" s="1"/>
  <c r="AG143" i="1"/>
  <c r="AF144" i="1" l="1"/>
  <c r="AR194" i="1"/>
  <c r="AS194" i="1" s="1"/>
  <c r="AP194" i="1" s="1"/>
  <c r="AQ195" i="1" s="1"/>
  <c r="AC145" i="1"/>
  <c r="AD145" i="1" s="1"/>
  <c r="AE145" i="1" s="1"/>
  <c r="AB145" i="1" s="1"/>
  <c r="AU194" i="1"/>
  <c r="AG144" i="1"/>
  <c r="AR195" i="1" l="1"/>
  <c r="AS195" i="1" s="1"/>
  <c r="AP195" i="1" s="1"/>
  <c r="AQ196" i="1" s="1"/>
  <c r="AR196" i="1" s="1"/>
  <c r="AS196" i="1" s="1"/>
  <c r="AP196" i="1" s="1"/>
  <c r="AT195" i="1"/>
  <c r="AF145" i="1"/>
  <c r="AC146" i="1"/>
  <c r="AD146" i="1" s="1"/>
  <c r="AE146" i="1" s="1"/>
  <c r="AB146" i="1" s="1"/>
  <c r="AG145" i="1"/>
  <c r="AU195" i="1" l="1"/>
  <c r="AF146" i="1"/>
  <c r="AT196" i="1"/>
  <c r="AQ197" i="1"/>
  <c r="AR197" i="1" s="1"/>
  <c r="AS197" i="1" s="1"/>
  <c r="AP197" i="1" s="1"/>
  <c r="AC147" i="1"/>
  <c r="AD147" i="1" s="1"/>
  <c r="AE147" i="1" s="1"/>
  <c r="AB147" i="1" s="1"/>
  <c r="AU196" i="1"/>
  <c r="AG146" i="1"/>
  <c r="AF147" i="1" l="1"/>
  <c r="AC148" i="1"/>
  <c r="AD148" i="1"/>
  <c r="AE148" i="1" s="1"/>
  <c r="AB148" i="1" s="1"/>
  <c r="AQ198" i="1"/>
  <c r="AR198" i="1" s="1"/>
  <c r="AS198" i="1" s="1"/>
  <c r="AP198" i="1" s="1"/>
  <c r="AU197" i="1"/>
  <c r="AG147" i="1"/>
  <c r="AT197" i="1"/>
  <c r="AF148" i="1" l="1"/>
  <c r="AQ199" i="1"/>
  <c r="AR199" i="1" s="1"/>
  <c r="AS199" i="1" s="1"/>
  <c r="AP199" i="1" s="1"/>
  <c r="AC149" i="1"/>
  <c r="AD149" i="1" s="1"/>
  <c r="AE149" i="1" s="1"/>
  <c r="AB149" i="1" s="1"/>
  <c r="AU198" i="1"/>
  <c r="AT198" i="1"/>
  <c r="AG148" i="1"/>
  <c r="AF149" i="1" l="1"/>
  <c r="AC150" i="1"/>
  <c r="AD150" i="1" s="1"/>
  <c r="AE150" i="1" s="1"/>
  <c r="AB150" i="1" s="1"/>
  <c r="AQ200" i="1"/>
  <c r="AR200" i="1" s="1"/>
  <c r="AS200" i="1" s="1"/>
  <c r="AP200" i="1" s="1"/>
  <c r="AU199" i="1"/>
  <c r="AG149" i="1"/>
  <c r="AT199" i="1"/>
  <c r="AQ201" i="1" l="1"/>
  <c r="AR201" i="1" s="1"/>
  <c r="AS201" i="1" s="1"/>
  <c r="AP201" i="1" s="1"/>
  <c r="AC151" i="1"/>
  <c r="AD151" i="1" s="1"/>
  <c r="AE151" i="1" s="1"/>
  <c r="AB151" i="1" s="1"/>
  <c r="AG150" i="1"/>
  <c r="AT200" i="1"/>
  <c r="AU200" i="1"/>
  <c r="AF150" i="1"/>
  <c r="AT201" i="1" l="1"/>
  <c r="AC152" i="1"/>
  <c r="AD152" i="1" s="1"/>
  <c r="AE152" i="1" s="1"/>
  <c r="AB152" i="1" s="1"/>
  <c r="AQ202" i="1"/>
  <c r="AR202" i="1" s="1"/>
  <c r="AS202" i="1" s="1"/>
  <c r="AP202" i="1" s="1"/>
  <c r="AG151" i="1"/>
  <c r="AF151" i="1"/>
  <c r="AF152" i="1" s="1"/>
  <c r="AU201" i="1"/>
  <c r="AT202" i="1" l="1"/>
  <c r="AG152" i="1"/>
  <c r="AQ203" i="1"/>
  <c r="AR203" i="1" s="1"/>
  <c r="AS203" i="1" s="1"/>
  <c r="AP203" i="1" s="1"/>
  <c r="AC153" i="1"/>
  <c r="AF153" i="1" s="1"/>
  <c r="AT203" i="1"/>
  <c r="AU202" i="1"/>
  <c r="AD153" i="1" l="1"/>
  <c r="AE153" i="1" s="1"/>
  <c r="AG153" i="1" s="1"/>
  <c r="AQ204" i="1"/>
  <c r="AR204" i="1" s="1"/>
  <c r="AS204" i="1" s="1"/>
  <c r="AP204" i="1" s="1"/>
  <c r="AU203" i="1"/>
  <c r="AB153" i="1"/>
  <c r="AT204" i="1" l="1"/>
  <c r="AQ205" i="1"/>
  <c r="AR205" i="1" s="1"/>
  <c r="AS205" i="1" s="1"/>
  <c r="AP205" i="1" s="1"/>
  <c r="AU204" i="1"/>
  <c r="AC154" i="1"/>
  <c r="AF154" i="1" s="1"/>
  <c r="AT205" i="1"/>
  <c r="AD154" i="1" l="1"/>
  <c r="AE154" i="1" s="1"/>
  <c r="AG154" i="1" s="1"/>
  <c r="AQ206" i="1"/>
  <c r="AR206" i="1" s="1"/>
  <c r="AS206" i="1" s="1"/>
  <c r="AP206" i="1" s="1"/>
  <c r="AU205" i="1"/>
  <c r="AB154" i="1" l="1"/>
  <c r="AC155" i="1" s="1"/>
  <c r="AF155" i="1" s="1"/>
  <c r="AT206" i="1"/>
  <c r="AQ207" i="1"/>
  <c r="AR207" i="1" s="1"/>
  <c r="AS207" i="1" s="1"/>
  <c r="AP207" i="1" s="1"/>
  <c r="AU206" i="1"/>
  <c r="AT207" i="1" l="1"/>
  <c r="AQ208" i="1"/>
  <c r="AR208" i="1" s="1"/>
  <c r="AS208" i="1" s="1"/>
  <c r="AP208" i="1" s="1"/>
  <c r="AU207" i="1"/>
  <c r="AD155" i="1"/>
  <c r="AE155" i="1" s="1"/>
  <c r="AT208" i="1"/>
  <c r="AQ209" i="1" l="1"/>
  <c r="AR209" i="1" s="1"/>
  <c r="AS209" i="1" s="1"/>
  <c r="AP209" i="1" s="1"/>
  <c r="AU208" i="1"/>
  <c r="AG155" i="1"/>
  <c r="AB155" i="1"/>
  <c r="AT209" i="1" l="1"/>
  <c r="AQ210" i="1"/>
  <c r="AR210" i="1" s="1"/>
  <c r="AS210" i="1" s="1"/>
  <c r="AP210" i="1" s="1"/>
  <c r="AC156" i="1"/>
  <c r="AF156" i="1" s="1"/>
  <c r="AU209" i="1"/>
  <c r="AT210" i="1" l="1"/>
  <c r="AQ211" i="1"/>
  <c r="AR211" i="1" s="1"/>
  <c r="AS211" i="1" s="1"/>
  <c r="AP211" i="1" s="1"/>
  <c r="AT211" i="1"/>
  <c r="AD156" i="1"/>
  <c r="AE156" i="1" s="1"/>
  <c r="AU210" i="1"/>
  <c r="AQ212" i="1" l="1"/>
  <c r="AR212" i="1" s="1"/>
  <c r="AS212" i="1" s="1"/>
  <c r="AP212" i="1" s="1"/>
  <c r="AU211" i="1"/>
  <c r="AB156" i="1"/>
  <c r="AG156" i="1"/>
  <c r="AT212" i="1" l="1"/>
  <c r="AU212" i="1"/>
  <c r="AQ213" i="1"/>
  <c r="AR213" i="1" s="1"/>
  <c r="AS213" i="1" s="1"/>
  <c r="AC157" i="1"/>
  <c r="AF157" i="1" s="1"/>
  <c r="AP213" i="1" l="1"/>
  <c r="AU213" i="1"/>
  <c r="AD157" i="1"/>
  <c r="AE157" i="1" s="1"/>
  <c r="AT213" i="1"/>
  <c r="AG157" i="1" l="1"/>
  <c r="AB157" i="1"/>
  <c r="AQ214" i="1"/>
  <c r="AT214" i="1" s="1"/>
  <c r="AR214" i="1" l="1"/>
  <c r="AS214" i="1" s="1"/>
  <c r="AC158" i="1"/>
  <c r="AF158" i="1" s="1"/>
  <c r="AD158" i="1" l="1"/>
  <c r="AE158" i="1" s="1"/>
  <c r="AP214" i="1"/>
  <c r="AU214" i="1"/>
  <c r="AQ215" i="1" l="1"/>
  <c r="AT215" i="1" s="1"/>
  <c r="AG158" i="1"/>
  <c r="AB158" i="1"/>
  <c r="AC159" i="1" l="1"/>
  <c r="AF159" i="1" s="1"/>
  <c r="AR215" i="1"/>
  <c r="AS215" i="1" s="1"/>
  <c r="AP215" i="1" l="1"/>
  <c r="AU215" i="1"/>
  <c r="AD159" i="1"/>
  <c r="AE159" i="1" s="1"/>
  <c r="AB159" i="1" l="1"/>
  <c r="AG159" i="1"/>
  <c r="AQ216" i="1"/>
  <c r="AT216" i="1" s="1"/>
  <c r="AR216" i="1" l="1"/>
  <c r="AS216" i="1" s="1"/>
  <c r="AC160" i="1"/>
  <c r="AF160" i="1" s="1"/>
  <c r="AD160" i="1"/>
  <c r="AE160" i="1" s="1"/>
  <c r="AG160" i="1" s="1"/>
  <c r="AB160" i="1" l="1"/>
  <c r="AP216" i="1"/>
  <c r="AU216" i="1"/>
  <c r="AQ217" i="1" l="1"/>
  <c r="AT217" i="1" s="1"/>
  <c r="AC161" i="1"/>
  <c r="AF161" i="1" s="1"/>
  <c r="AD161" i="1" l="1"/>
  <c r="AE161" i="1" s="1"/>
  <c r="AR217" i="1"/>
  <c r="AS217" i="1" s="1"/>
  <c r="AU217" i="1" l="1"/>
  <c r="AP217" i="1"/>
  <c r="AG161" i="1"/>
  <c r="AB161" i="1"/>
  <c r="AC162" i="1" l="1"/>
  <c r="AF162" i="1" s="1"/>
  <c r="AQ218" i="1"/>
  <c r="AT218" i="1" s="1"/>
  <c r="AR218" i="1" l="1"/>
  <c r="AS218" i="1" s="1"/>
  <c r="AD162" i="1"/>
  <c r="AE162" i="1" s="1"/>
  <c r="AG162" i="1" l="1"/>
  <c r="AB162" i="1"/>
  <c r="AP218" i="1"/>
  <c r="AU218" i="1"/>
  <c r="AQ219" i="1" l="1"/>
  <c r="AT219" i="1" s="1"/>
  <c r="AC163" i="1"/>
  <c r="AF163" i="1" s="1"/>
  <c r="AD163" i="1" l="1"/>
  <c r="AE163" i="1" s="1"/>
  <c r="AR219" i="1"/>
  <c r="AS219" i="1" s="1"/>
  <c r="AU219" i="1" l="1"/>
  <c r="AP219" i="1"/>
  <c r="AB163" i="1"/>
  <c r="AG163" i="1"/>
  <c r="AC164" i="1" l="1"/>
  <c r="AF164" i="1" s="1"/>
  <c r="AQ220" i="1"/>
  <c r="AT220" i="1" s="1"/>
  <c r="AD164" i="1" l="1"/>
  <c r="AE164" i="1" s="1"/>
  <c r="AB164" i="1" s="1"/>
  <c r="AC165" i="1" s="1"/>
  <c r="AD165" i="1" s="1"/>
  <c r="AE165" i="1" s="1"/>
  <c r="AB165" i="1" s="1"/>
  <c r="AR220" i="1"/>
  <c r="AS220" i="1" s="1"/>
  <c r="AG164" i="1" l="1"/>
  <c r="AG165" i="1" s="1"/>
  <c r="AP220" i="1"/>
  <c r="AQ221" i="1" s="1"/>
  <c r="AU220" i="1"/>
  <c r="AC166" i="1"/>
  <c r="AD166" i="1" s="1"/>
  <c r="AE166" i="1" s="1"/>
  <c r="AB166" i="1" s="1"/>
  <c r="AF165" i="1"/>
  <c r="AF166" i="1" s="1"/>
  <c r="AR221" i="1" l="1"/>
  <c r="AS221" i="1" s="1"/>
  <c r="AT221" i="1"/>
  <c r="AC167" i="1"/>
  <c r="AD167" i="1" s="1"/>
  <c r="AE167" i="1" s="1"/>
  <c r="AB167" i="1" s="1"/>
  <c r="AG166" i="1"/>
  <c r="AF167" i="1" l="1"/>
  <c r="AP221" i="1"/>
  <c r="AQ222" i="1" s="1"/>
  <c r="AT222" i="1" s="1"/>
  <c r="AU221" i="1"/>
  <c r="AC168" i="1"/>
  <c r="AD168" i="1" s="1"/>
  <c r="AE168" i="1" s="1"/>
  <c r="AB168" i="1" s="1"/>
  <c r="AG167" i="1"/>
  <c r="AF168" i="1" l="1"/>
  <c r="AR222" i="1"/>
  <c r="AS222" i="1" s="1"/>
  <c r="AU222" i="1" s="1"/>
  <c r="AG168" i="1"/>
  <c r="AC169" i="1"/>
  <c r="AD169" i="1" s="1"/>
  <c r="AE169" i="1" s="1"/>
  <c r="AP222" i="1" l="1"/>
  <c r="AF169" i="1"/>
  <c r="AB169" i="1"/>
  <c r="AG169" i="1"/>
  <c r="AQ223" i="1"/>
  <c r="AT223" i="1" s="1"/>
  <c r="AR223" i="1" l="1"/>
  <c r="AS223" i="1" s="1"/>
  <c r="AU223" i="1" s="1"/>
  <c r="AC170" i="1"/>
  <c r="AF170" i="1" s="1"/>
  <c r="AP223" i="1" l="1"/>
  <c r="AD170" i="1"/>
  <c r="AE170" i="1" s="1"/>
  <c r="AQ224" i="1"/>
  <c r="AT224" i="1" s="1"/>
  <c r="AR224" i="1" l="1"/>
  <c r="AS224" i="1" s="1"/>
  <c r="AG170" i="1"/>
  <c r="AB170" i="1"/>
  <c r="AC171" i="1" l="1"/>
  <c r="AF171" i="1" s="1"/>
  <c r="AU224" i="1"/>
  <c r="AP224" i="1"/>
  <c r="AQ225" i="1" l="1"/>
  <c r="AT225" i="1" s="1"/>
  <c r="AD171" i="1"/>
  <c r="AE171" i="1" s="1"/>
  <c r="AB171" i="1" l="1"/>
  <c r="AG171" i="1"/>
  <c r="AR225" i="1"/>
  <c r="AS225" i="1" s="1"/>
  <c r="AP225" i="1" l="1"/>
  <c r="AU225" i="1"/>
  <c r="AC172" i="1"/>
  <c r="AF172" i="1" s="1"/>
  <c r="AD172" i="1"/>
  <c r="AE172" i="1" s="1"/>
  <c r="AG172" i="1" s="1"/>
  <c r="AB172" i="1" l="1"/>
  <c r="AQ226" i="1"/>
  <c r="AT226" i="1" s="1"/>
  <c r="AR226" i="1" l="1"/>
  <c r="AS226" i="1" s="1"/>
  <c r="AU226" i="1" s="1"/>
  <c r="AC173" i="1"/>
  <c r="AF173" i="1" s="1"/>
  <c r="AP226" i="1" l="1"/>
  <c r="AQ227" i="1" s="1"/>
  <c r="AT227" i="1" s="1"/>
  <c r="AD173" i="1"/>
  <c r="AE173" i="1" s="1"/>
  <c r="AR227" i="1" l="1"/>
  <c r="AS227" i="1" s="1"/>
  <c r="AG173" i="1"/>
  <c r="AB173" i="1"/>
  <c r="AC174" i="1" l="1"/>
  <c r="AF174" i="1" s="1"/>
  <c r="AU227" i="1"/>
  <c r="AP227" i="1"/>
  <c r="AQ228" i="1" l="1"/>
  <c r="AT228" i="1" s="1"/>
  <c r="AD174" i="1"/>
  <c r="AE174" i="1" s="1"/>
  <c r="AR228" i="1" l="1"/>
  <c r="AS228" i="1" s="1"/>
  <c r="AU228" i="1" s="1"/>
  <c r="AB174" i="1"/>
  <c r="AG174" i="1"/>
  <c r="AP228" i="1"/>
  <c r="AQ229" i="1" l="1"/>
  <c r="AT229" i="1" s="1"/>
  <c r="AC175" i="1"/>
  <c r="AF175" i="1" s="1"/>
  <c r="AD175" i="1" l="1"/>
  <c r="AE175" i="1" s="1"/>
  <c r="AR229" i="1"/>
  <c r="AS229" i="1" s="1"/>
  <c r="AU229" i="1" l="1"/>
  <c r="AP229" i="1"/>
  <c r="AG175" i="1"/>
  <c r="AB175" i="1"/>
  <c r="AC176" i="1" l="1"/>
  <c r="AF176" i="1" s="1"/>
  <c r="AQ230" i="1"/>
  <c r="AT230" i="1" s="1"/>
  <c r="AD176" i="1" l="1"/>
  <c r="AE176" i="1" s="1"/>
  <c r="AG176" i="1" s="1"/>
  <c r="AR230" i="1"/>
  <c r="AS230" i="1" s="1"/>
  <c r="AP230" i="1" s="1"/>
  <c r="AQ231" i="1" s="1"/>
  <c r="AR231" i="1" s="1"/>
  <c r="AS231" i="1" s="1"/>
  <c r="AP231" i="1" s="1"/>
  <c r="AB176" i="1" l="1"/>
  <c r="AU230" i="1"/>
  <c r="AT231" i="1"/>
  <c r="AQ232" i="1"/>
  <c r="AR232" i="1" s="1"/>
  <c r="AS232" i="1" s="1"/>
  <c r="AP232" i="1" s="1"/>
  <c r="AC177" i="1"/>
  <c r="AF177" i="1" s="1"/>
  <c r="AT232" i="1"/>
  <c r="AU231" i="1"/>
  <c r="AQ233" i="1" l="1"/>
  <c r="AR233" i="1" s="1"/>
  <c r="AS233" i="1" s="1"/>
  <c r="AP233" i="1" s="1"/>
  <c r="AU232" i="1"/>
  <c r="AT233" i="1"/>
  <c r="AD177" i="1"/>
  <c r="AE177" i="1" s="1"/>
  <c r="AQ234" i="1" l="1"/>
  <c r="AR234" i="1" s="1"/>
  <c r="AS234" i="1" s="1"/>
  <c r="AP234" i="1" s="1"/>
  <c r="AG177" i="1"/>
  <c r="AB177" i="1"/>
  <c r="AT234" i="1"/>
  <c r="AU233" i="1"/>
  <c r="AQ235" i="1" l="1"/>
  <c r="AR235" i="1" s="1"/>
  <c r="AS235" i="1" s="1"/>
  <c r="AP235" i="1" s="1"/>
  <c r="AT235" i="1"/>
  <c r="AU234" i="1"/>
  <c r="AC178" i="1"/>
  <c r="AF178" i="1" s="1"/>
  <c r="AQ236" i="1" l="1"/>
  <c r="AR236" i="1"/>
  <c r="AS236" i="1" s="1"/>
  <c r="AP236" i="1" s="1"/>
  <c r="AU235" i="1"/>
  <c r="AD178" i="1"/>
  <c r="AE178" i="1" s="1"/>
  <c r="AT236" i="1"/>
  <c r="AQ237" i="1" l="1"/>
  <c r="AR237" i="1" s="1"/>
  <c r="AS237" i="1" s="1"/>
  <c r="AP237" i="1" s="1"/>
  <c r="AG178" i="1"/>
  <c r="AB178" i="1"/>
  <c r="AU236" i="1"/>
  <c r="AT237" i="1" l="1"/>
  <c r="AQ238" i="1"/>
  <c r="AR238" i="1" s="1"/>
  <c r="AS238" i="1" s="1"/>
  <c r="AP238" i="1" s="1"/>
  <c r="AC179" i="1"/>
  <c r="AF179" i="1" s="1"/>
  <c r="AU237" i="1"/>
  <c r="AQ239" i="1" l="1"/>
  <c r="AR239" i="1" s="1"/>
  <c r="AS239" i="1" s="1"/>
  <c r="AP239" i="1" s="1"/>
  <c r="AU238" i="1"/>
  <c r="AD179" i="1"/>
  <c r="AE179" i="1" s="1"/>
  <c r="AT238" i="1"/>
  <c r="AT239" i="1" s="1"/>
  <c r="AQ240" i="1" l="1"/>
  <c r="AR240" i="1" s="1"/>
  <c r="AS240" i="1" s="1"/>
  <c r="AP240" i="1" s="1"/>
  <c r="AB179" i="1"/>
  <c r="AG179" i="1"/>
  <c r="AU239" i="1"/>
  <c r="AT240" i="1" l="1"/>
  <c r="AQ241" i="1"/>
  <c r="AR241" i="1" s="1"/>
  <c r="AS241" i="1" s="1"/>
  <c r="AP241" i="1" s="1"/>
  <c r="AU240" i="1"/>
  <c r="AC180" i="1"/>
  <c r="AF180" i="1" s="1"/>
  <c r="AT241" i="1" l="1"/>
  <c r="AQ242" i="1"/>
  <c r="AR242" i="1" s="1"/>
  <c r="AS242" i="1" s="1"/>
  <c r="AP242" i="1" s="1"/>
  <c r="AT242" i="1"/>
  <c r="AU241" i="1"/>
  <c r="AD180" i="1"/>
  <c r="AE180" i="1" s="1"/>
  <c r="AQ243" i="1" l="1"/>
  <c r="AR243" i="1" s="1"/>
  <c r="AS243" i="1" s="1"/>
  <c r="AP243" i="1" s="1"/>
  <c r="AG180" i="1"/>
  <c r="AB180" i="1"/>
  <c r="AU242" i="1"/>
  <c r="AT243" i="1" l="1"/>
  <c r="AQ244" i="1"/>
  <c r="AR244" i="1" s="1"/>
  <c r="AS244" i="1" s="1"/>
  <c r="AP244" i="1" s="1"/>
  <c r="AU243" i="1"/>
  <c r="AC181" i="1"/>
  <c r="AF181" i="1" s="1"/>
  <c r="AT244" i="1" l="1"/>
  <c r="AQ245" i="1"/>
  <c r="AR245" i="1" s="1"/>
  <c r="AS245" i="1" s="1"/>
  <c r="AP245" i="1" s="1"/>
  <c r="AD181" i="1"/>
  <c r="AE181" i="1" s="1"/>
  <c r="AU244" i="1"/>
  <c r="AT245" i="1"/>
  <c r="AQ246" i="1" l="1"/>
  <c r="AR246" i="1" s="1"/>
  <c r="AS246" i="1" s="1"/>
  <c r="AP246" i="1" s="1"/>
  <c r="AU245" i="1"/>
  <c r="AG181" i="1"/>
  <c r="AB181" i="1"/>
  <c r="AT246" i="1" l="1"/>
  <c r="AQ247" i="1"/>
  <c r="AR247" i="1" s="1"/>
  <c r="AS247" i="1" s="1"/>
  <c r="AP247" i="1" s="1"/>
  <c r="AC182" i="1"/>
  <c r="AF182" i="1" s="1"/>
  <c r="AU246" i="1"/>
  <c r="AQ248" i="1" l="1"/>
  <c r="AR248" i="1" s="1"/>
  <c r="AS248" i="1" s="1"/>
  <c r="AP248" i="1" s="1"/>
  <c r="AU247" i="1"/>
  <c r="AD182" i="1"/>
  <c r="AE182" i="1" s="1"/>
  <c r="AT247" i="1"/>
  <c r="AT248" i="1" l="1"/>
  <c r="AQ249" i="1"/>
  <c r="AR249" i="1" s="1"/>
  <c r="AS249" i="1" s="1"/>
  <c r="AP249" i="1" s="1"/>
  <c r="AT249" i="1"/>
  <c r="AB182" i="1"/>
  <c r="AG182" i="1"/>
  <c r="AU248" i="1"/>
  <c r="AQ250" i="1" l="1"/>
  <c r="AR250" i="1" s="1"/>
  <c r="AS250" i="1" s="1"/>
  <c r="AP250" i="1" s="1"/>
  <c r="AU249" i="1"/>
  <c r="AC183" i="1"/>
  <c r="AF183" i="1" s="1"/>
  <c r="AQ251" i="1" l="1"/>
  <c r="AR251" i="1" s="1"/>
  <c r="AS251" i="1" s="1"/>
  <c r="AP251" i="1" s="1"/>
  <c r="AD183" i="1"/>
  <c r="AE183" i="1" s="1"/>
  <c r="AU250" i="1"/>
  <c r="AT250" i="1"/>
  <c r="AT251" i="1" l="1"/>
  <c r="AQ252" i="1"/>
  <c r="AR252" i="1" s="1"/>
  <c r="AS252" i="1" s="1"/>
  <c r="AP252" i="1" s="1"/>
  <c r="AU251" i="1"/>
  <c r="AG183" i="1"/>
  <c r="AB183" i="1"/>
  <c r="AQ253" i="1" l="1"/>
  <c r="AR253" i="1" s="1"/>
  <c r="AS253" i="1" s="1"/>
  <c r="AP253" i="1" s="1"/>
  <c r="AC184" i="1"/>
  <c r="AF184" i="1" s="1"/>
  <c r="AT252" i="1"/>
  <c r="AT253" i="1" s="1"/>
  <c r="AU252" i="1"/>
  <c r="AD184" i="1" l="1"/>
  <c r="AE184" i="1" s="1"/>
  <c r="AB184" i="1" s="1"/>
  <c r="AC185" i="1" s="1"/>
  <c r="AD185" i="1" s="1"/>
  <c r="AE185" i="1" s="1"/>
  <c r="AB185" i="1" s="1"/>
  <c r="AQ254" i="1"/>
  <c r="AR254" i="1" s="1"/>
  <c r="AS254" i="1" s="1"/>
  <c r="AP254" i="1" s="1"/>
  <c r="AG184" i="1"/>
  <c r="AU253" i="1"/>
  <c r="AT254" i="1" l="1"/>
  <c r="AQ255" i="1"/>
  <c r="AR255" i="1" s="1"/>
  <c r="AS255" i="1" s="1"/>
  <c r="AP255" i="1" s="1"/>
  <c r="AC186" i="1"/>
  <c r="AD186" i="1" s="1"/>
  <c r="AE186" i="1" s="1"/>
  <c r="AB186" i="1" s="1"/>
  <c r="AG185" i="1"/>
  <c r="AU254" i="1"/>
  <c r="AF185" i="1"/>
  <c r="AT255" i="1" l="1"/>
  <c r="AC187" i="1"/>
  <c r="AD187" i="1" s="1"/>
  <c r="AE187" i="1" s="1"/>
  <c r="AB187" i="1" s="1"/>
  <c r="AQ256" i="1"/>
  <c r="AR256" i="1" s="1"/>
  <c r="AS256" i="1" s="1"/>
  <c r="AP256" i="1" s="1"/>
  <c r="AG186" i="1"/>
  <c r="AF186" i="1"/>
  <c r="AU255" i="1"/>
  <c r="AT256" i="1" l="1"/>
  <c r="AQ257" i="1"/>
  <c r="AR257" i="1" s="1"/>
  <c r="AS257" i="1" s="1"/>
  <c r="AP257" i="1" s="1"/>
  <c r="AC188" i="1"/>
  <c r="AD188" i="1" s="1"/>
  <c r="AE188" i="1" s="1"/>
  <c r="AB188" i="1" s="1"/>
  <c r="AG187" i="1"/>
  <c r="AU256" i="1"/>
  <c r="AF187" i="1"/>
  <c r="AF188" i="1" l="1"/>
  <c r="AC189" i="1"/>
  <c r="AD189" i="1" s="1"/>
  <c r="AE189" i="1" s="1"/>
  <c r="AB189" i="1" s="1"/>
  <c r="AQ258" i="1"/>
  <c r="AR258" i="1" s="1"/>
  <c r="AS258" i="1" s="1"/>
  <c r="AP258" i="1" s="1"/>
  <c r="AG188" i="1"/>
  <c r="AU257" i="1"/>
  <c r="AT257" i="1"/>
  <c r="AQ259" i="1" l="1"/>
  <c r="AR259" i="1" s="1"/>
  <c r="AS259" i="1" s="1"/>
  <c r="AP259" i="1" s="1"/>
  <c r="AC190" i="1"/>
  <c r="AD190" i="1" s="1"/>
  <c r="AE190" i="1" s="1"/>
  <c r="AB190" i="1" s="1"/>
  <c r="AU258" i="1"/>
  <c r="AG189" i="1"/>
  <c r="AT258" i="1"/>
  <c r="AF189" i="1"/>
  <c r="AC191" i="1" l="1"/>
  <c r="AD191" i="1" s="1"/>
  <c r="AE191" i="1" s="1"/>
  <c r="AB191" i="1" s="1"/>
  <c r="AQ260" i="1"/>
  <c r="AR260" i="1" s="1"/>
  <c r="AS260" i="1" s="1"/>
  <c r="AP260" i="1" s="1"/>
  <c r="AU259" i="1"/>
  <c r="AG190" i="1"/>
  <c r="AF190" i="1"/>
  <c r="AT259" i="1"/>
  <c r="AQ261" i="1" l="1"/>
  <c r="AR261" i="1" s="1"/>
  <c r="AS261" i="1" s="1"/>
  <c r="AP261" i="1" s="1"/>
  <c r="AC192" i="1"/>
  <c r="AD192" i="1" s="1"/>
  <c r="AE192" i="1" s="1"/>
  <c r="AB192" i="1" s="1"/>
  <c r="AU260" i="1"/>
  <c r="AT260" i="1"/>
  <c r="AG191" i="1"/>
  <c r="AF191" i="1"/>
  <c r="AT261" i="1" l="1"/>
  <c r="AC193" i="1"/>
  <c r="AD193" i="1" s="1"/>
  <c r="AE193" i="1" s="1"/>
  <c r="AB193" i="1" s="1"/>
  <c r="AQ262" i="1"/>
  <c r="AR262" i="1" s="1"/>
  <c r="AS262" i="1" s="1"/>
  <c r="AP262" i="1" s="1"/>
  <c r="AU261" i="1"/>
  <c r="AF192" i="1"/>
  <c r="AG192" i="1"/>
  <c r="AT262" i="1" l="1"/>
  <c r="AQ263" i="1"/>
  <c r="AR263" i="1" s="1"/>
  <c r="AS263" i="1" s="1"/>
  <c r="AP263" i="1" s="1"/>
  <c r="AC194" i="1"/>
  <c r="AD194" i="1" s="1"/>
  <c r="AE194" i="1" s="1"/>
  <c r="AB194" i="1" s="1"/>
  <c r="AU262" i="1"/>
  <c r="AG193" i="1"/>
  <c r="AF193" i="1"/>
  <c r="AT263" i="1" l="1"/>
  <c r="AC195" i="1"/>
  <c r="AD195" i="1" s="1"/>
  <c r="AE195" i="1" s="1"/>
  <c r="AB195" i="1" s="1"/>
  <c r="AQ264" i="1"/>
  <c r="AR264" i="1" s="1"/>
  <c r="AS264" i="1" s="1"/>
  <c r="AP264" i="1" s="1"/>
  <c r="AU263" i="1"/>
  <c r="AF194" i="1"/>
  <c r="AG194" i="1"/>
  <c r="AQ265" i="1" l="1"/>
  <c r="AR265" i="1" s="1"/>
  <c r="AS265" i="1" s="1"/>
  <c r="AP265" i="1" s="1"/>
  <c r="AC196" i="1"/>
  <c r="AD196" i="1" s="1"/>
  <c r="AE196" i="1" s="1"/>
  <c r="AB196" i="1" s="1"/>
  <c r="AG195" i="1"/>
  <c r="AU264" i="1"/>
  <c r="AT264" i="1"/>
  <c r="AF195" i="1"/>
  <c r="AC197" i="1" l="1"/>
  <c r="AD197" i="1" s="1"/>
  <c r="AE197" i="1" s="1"/>
  <c r="AB197" i="1" s="1"/>
  <c r="AQ266" i="1"/>
  <c r="AR266" i="1" s="1"/>
  <c r="AS266" i="1" s="1"/>
  <c r="AP266" i="1" s="1"/>
  <c r="AG196" i="1"/>
  <c r="AU265" i="1"/>
  <c r="AF196" i="1"/>
  <c r="AT265" i="1"/>
  <c r="AQ267" i="1" l="1"/>
  <c r="AR267" i="1" s="1"/>
  <c r="AS267" i="1" s="1"/>
  <c r="AP267" i="1" s="1"/>
  <c r="AC198" i="1"/>
  <c r="AD198" i="1" s="1"/>
  <c r="AE198" i="1" s="1"/>
  <c r="AB198" i="1" s="1"/>
  <c r="AU266" i="1"/>
  <c r="AT266" i="1"/>
  <c r="AG197" i="1"/>
  <c r="AF197" i="1"/>
  <c r="AT267" i="1" l="1"/>
  <c r="AC199" i="1"/>
  <c r="AD199" i="1" s="1"/>
  <c r="AE199" i="1" s="1"/>
  <c r="AB199" i="1" s="1"/>
  <c r="AQ268" i="1"/>
  <c r="AR268" i="1" s="1"/>
  <c r="AS268" i="1" s="1"/>
  <c r="AP268" i="1" s="1"/>
  <c r="AU267" i="1"/>
  <c r="AF198" i="1"/>
  <c r="AG198" i="1"/>
  <c r="AQ269" i="1" l="1"/>
  <c r="AR269" i="1" s="1"/>
  <c r="AS269" i="1" s="1"/>
  <c r="AP269" i="1" s="1"/>
  <c r="AC200" i="1"/>
  <c r="AD200" i="1" s="1"/>
  <c r="AE200" i="1" s="1"/>
  <c r="AB200" i="1" s="1"/>
  <c r="AU268" i="1"/>
  <c r="AT268" i="1"/>
  <c r="AG199" i="1"/>
  <c r="AF199" i="1"/>
  <c r="AT269" i="1" l="1"/>
  <c r="AC201" i="1"/>
  <c r="AD201" i="1" s="1"/>
  <c r="AE201" i="1" s="1"/>
  <c r="AB201" i="1" s="1"/>
  <c r="AQ270" i="1"/>
  <c r="AR270" i="1" s="1"/>
  <c r="AS270" i="1" s="1"/>
  <c r="AP270" i="1" s="1"/>
  <c r="AU269" i="1"/>
  <c r="AF200" i="1"/>
  <c r="AG200" i="1"/>
  <c r="AT270" i="1" l="1"/>
  <c r="AQ271" i="1"/>
  <c r="AR271" i="1" s="1"/>
  <c r="AS271" i="1" s="1"/>
  <c r="AP271" i="1" s="1"/>
  <c r="AC202" i="1"/>
  <c r="AD202" i="1" s="1"/>
  <c r="AE202" i="1" s="1"/>
  <c r="AB202" i="1" s="1"/>
  <c r="AU270" i="1"/>
  <c r="AG201" i="1"/>
  <c r="AF201" i="1"/>
  <c r="AC203" i="1" l="1"/>
  <c r="AD203" i="1" s="1"/>
  <c r="AE203" i="1" s="1"/>
  <c r="AB203" i="1" s="1"/>
  <c r="AQ272" i="1"/>
  <c r="AR272" i="1" s="1"/>
  <c r="AS272" i="1" s="1"/>
  <c r="AP272" i="1" s="1"/>
  <c r="AU271" i="1"/>
  <c r="AF202" i="1"/>
  <c r="AF203" i="1" s="1"/>
  <c r="AG202" i="1"/>
  <c r="AT271" i="1"/>
  <c r="AQ273" i="1" l="1"/>
  <c r="AR273" i="1" s="1"/>
  <c r="AS273" i="1" s="1"/>
  <c r="AP273" i="1" s="1"/>
  <c r="AC204" i="1"/>
  <c r="AF204" i="1" s="1"/>
  <c r="AU272" i="1"/>
  <c r="AT272" i="1"/>
  <c r="AT273" i="1" s="1"/>
  <c r="AG203" i="1"/>
  <c r="AD204" i="1" l="1"/>
  <c r="AE204" i="1" s="1"/>
  <c r="AB204" i="1" s="1"/>
  <c r="AC205" i="1"/>
  <c r="AF205" i="1" s="1"/>
  <c r="AQ274" i="1"/>
  <c r="AR274" i="1" s="1"/>
  <c r="AS274" i="1" s="1"/>
  <c r="AP274" i="1" s="1"/>
  <c r="AU273" i="1"/>
  <c r="AG204" i="1"/>
  <c r="AT274" i="1" l="1"/>
  <c r="AQ275" i="1"/>
  <c r="AR275" i="1" s="1"/>
  <c r="AS275" i="1" s="1"/>
  <c r="AP275" i="1" s="1"/>
  <c r="AD205" i="1"/>
  <c r="AE205" i="1" s="1"/>
  <c r="AB205" i="1" s="1"/>
  <c r="AU274" i="1"/>
  <c r="AT275" i="1" l="1"/>
  <c r="AQ276" i="1"/>
  <c r="AR276" i="1" s="1"/>
  <c r="AS276" i="1" s="1"/>
  <c r="AP276" i="1" s="1"/>
  <c r="AU275" i="1"/>
  <c r="AC206" i="1"/>
  <c r="AF206" i="1" s="1"/>
  <c r="AG205" i="1"/>
  <c r="AQ277" i="1" l="1"/>
  <c r="AR277" i="1" s="1"/>
  <c r="AS277" i="1" s="1"/>
  <c r="AP277" i="1" s="1"/>
  <c r="AD206" i="1"/>
  <c r="AE206" i="1" s="1"/>
  <c r="AB206" i="1" s="1"/>
  <c r="AT276" i="1"/>
  <c r="AU276" i="1"/>
  <c r="AT277" i="1" l="1"/>
  <c r="AG206" i="1"/>
  <c r="AQ278" i="1"/>
  <c r="AR278" i="1" s="1"/>
  <c r="AS278" i="1" s="1"/>
  <c r="AP278" i="1" s="1"/>
  <c r="AU277" i="1"/>
  <c r="AT278" i="1"/>
  <c r="AC207" i="1"/>
  <c r="AF207" i="1" s="1"/>
  <c r="AQ279" i="1" l="1"/>
  <c r="AR279" i="1" s="1"/>
  <c r="AS279" i="1" s="1"/>
  <c r="AP279" i="1" s="1"/>
  <c r="AD207" i="1"/>
  <c r="AE207" i="1" s="1"/>
  <c r="AU278" i="1"/>
  <c r="AT279" i="1" l="1"/>
  <c r="AQ280" i="1"/>
  <c r="AR280" i="1"/>
  <c r="AS280" i="1" s="1"/>
  <c r="AP280" i="1" s="1"/>
  <c r="AU279" i="1"/>
  <c r="AT280" i="1"/>
  <c r="AB207" i="1"/>
  <c r="AG207" i="1"/>
  <c r="AQ281" i="1" l="1"/>
  <c r="AR281" i="1"/>
  <c r="AS281" i="1" s="1"/>
  <c r="AP281" i="1" s="1"/>
  <c r="AT281" i="1"/>
  <c r="AU280" i="1"/>
  <c r="AC208" i="1"/>
  <c r="AF208" i="1" s="1"/>
  <c r="AQ282" i="1" l="1"/>
  <c r="AR282" i="1" s="1"/>
  <c r="AS282" i="1" s="1"/>
  <c r="AP282" i="1" s="1"/>
  <c r="AU281" i="1"/>
  <c r="AT282" i="1"/>
  <c r="AD208" i="1"/>
  <c r="AE208" i="1" s="1"/>
  <c r="AQ283" i="1" l="1"/>
  <c r="AR283" i="1" s="1"/>
  <c r="AS283" i="1" s="1"/>
  <c r="AP283" i="1" s="1"/>
  <c r="AU282" i="1"/>
  <c r="AG208" i="1"/>
  <c r="AB208" i="1"/>
  <c r="AT283" i="1" l="1"/>
  <c r="AQ284" i="1"/>
  <c r="AR284" i="1"/>
  <c r="AS284" i="1" s="1"/>
  <c r="AP284" i="1" s="1"/>
  <c r="AT284" i="1"/>
  <c r="AC209" i="1"/>
  <c r="AF209" i="1" s="1"/>
  <c r="AD209" i="1"/>
  <c r="AE209" i="1" s="1"/>
  <c r="AG209" i="1" s="1"/>
  <c r="AU283" i="1"/>
  <c r="AQ285" i="1" l="1"/>
  <c r="AR285" i="1" s="1"/>
  <c r="AS285" i="1" s="1"/>
  <c r="AP285" i="1" s="1"/>
  <c r="AB209" i="1"/>
  <c r="AT285" i="1"/>
  <c r="AU284" i="1"/>
  <c r="AQ286" i="1" l="1"/>
  <c r="AR286" i="1" s="1"/>
  <c r="AS286" i="1" s="1"/>
  <c r="AP286" i="1" s="1"/>
  <c r="AC210" i="1"/>
  <c r="AF210" i="1" s="1"/>
  <c r="AU285" i="1"/>
  <c r="AT286" i="1"/>
  <c r="AD210" i="1" l="1"/>
  <c r="AE210" i="1"/>
  <c r="AG210" i="1" s="1"/>
  <c r="AQ287" i="1"/>
  <c r="AR287" i="1" s="1"/>
  <c r="AS287" i="1" s="1"/>
  <c r="AP287" i="1" s="1"/>
  <c r="AU286" i="1"/>
  <c r="AB210" i="1"/>
  <c r="AT287" i="1" l="1"/>
  <c r="AQ288" i="1"/>
  <c r="AR288" i="1" s="1"/>
  <c r="AS288" i="1" s="1"/>
  <c r="AP288" i="1" s="1"/>
  <c r="AU287" i="1"/>
  <c r="AC211" i="1"/>
  <c r="AF211" i="1" s="1"/>
  <c r="AT288" i="1"/>
  <c r="AD211" i="1" l="1"/>
  <c r="AE211" i="1" s="1"/>
  <c r="AG211" i="1" s="1"/>
  <c r="AQ289" i="1"/>
  <c r="AR289" i="1" s="1"/>
  <c r="AS289" i="1" s="1"/>
  <c r="AP289" i="1" s="1"/>
  <c r="AB211" i="1"/>
  <c r="AU288" i="1"/>
  <c r="AT289" i="1" l="1"/>
  <c r="AQ290" i="1"/>
  <c r="AR290" i="1" s="1"/>
  <c r="AS290" i="1" s="1"/>
  <c r="AP290" i="1" s="1"/>
  <c r="AC212" i="1"/>
  <c r="AF212" i="1" s="1"/>
  <c r="AU289" i="1"/>
  <c r="AT290" i="1"/>
  <c r="AD212" i="1" l="1"/>
  <c r="AE212" i="1" s="1"/>
  <c r="AG212" i="1" s="1"/>
  <c r="AQ291" i="1"/>
  <c r="AR291" i="1" s="1"/>
  <c r="AS291" i="1" s="1"/>
  <c r="AP291" i="1" s="1"/>
  <c r="AU290" i="1"/>
  <c r="AB212" i="1"/>
  <c r="AT291" i="1" l="1"/>
  <c r="AQ292" i="1"/>
  <c r="AR292" i="1"/>
  <c r="AS292" i="1" s="1"/>
  <c r="AP292" i="1" s="1"/>
  <c r="AC213" i="1"/>
  <c r="AF213" i="1" s="1"/>
  <c r="AU291" i="1"/>
  <c r="AU292" i="1" s="1"/>
  <c r="AT292" i="1"/>
  <c r="AQ293" i="1" l="1"/>
  <c r="AR293" i="1" s="1"/>
  <c r="AS293" i="1" s="1"/>
  <c r="AT293" i="1"/>
  <c r="AD213" i="1"/>
  <c r="AE213" i="1" s="1"/>
  <c r="AP293" i="1" l="1"/>
  <c r="AU293" i="1"/>
  <c r="AG213" i="1"/>
  <c r="AB213" i="1"/>
  <c r="AC214" i="1" l="1"/>
  <c r="AF214" i="1" s="1"/>
  <c r="AQ294" i="1"/>
  <c r="AT294" i="1" s="1"/>
  <c r="AR294" i="1" l="1"/>
  <c r="AS294" i="1" s="1"/>
  <c r="AD214" i="1"/>
  <c r="AE214" i="1" s="1"/>
  <c r="AG214" i="1" l="1"/>
  <c r="AB214" i="1"/>
  <c r="AU294" i="1"/>
  <c r="AP294" i="1"/>
  <c r="AQ295" i="1" l="1"/>
  <c r="AT295" i="1" s="1"/>
  <c r="AC215" i="1"/>
  <c r="AF215" i="1" s="1"/>
  <c r="AD215" i="1" l="1"/>
  <c r="AE215" i="1" s="1"/>
  <c r="AR295" i="1"/>
  <c r="AS295" i="1" s="1"/>
  <c r="AP295" i="1" l="1"/>
  <c r="AU295" i="1"/>
  <c r="AB215" i="1"/>
  <c r="AG215" i="1"/>
  <c r="AC216" i="1" l="1"/>
  <c r="AF216" i="1" s="1"/>
  <c r="AQ296" i="1"/>
  <c r="AT296" i="1" s="1"/>
  <c r="AR296" i="1" l="1"/>
  <c r="AS296" i="1" s="1"/>
  <c r="AD216" i="1"/>
  <c r="AE216" i="1" s="1"/>
  <c r="AG216" i="1" l="1"/>
  <c r="AB216" i="1"/>
  <c r="AU296" i="1"/>
  <c r="AP296" i="1"/>
  <c r="AQ297" i="1" l="1"/>
  <c r="AT297" i="1" s="1"/>
  <c r="AC217" i="1"/>
  <c r="AF217" i="1" s="1"/>
  <c r="AD217" i="1"/>
  <c r="AE217" i="1" s="1"/>
  <c r="AB217" i="1" s="1"/>
  <c r="AC218" i="1" l="1"/>
  <c r="AD218" i="1" s="1"/>
  <c r="AE218" i="1" s="1"/>
  <c r="AB218" i="1" s="1"/>
  <c r="AG217" i="1"/>
  <c r="AF218" i="1"/>
  <c r="AR297" i="1"/>
  <c r="AS297" i="1" s="1"/>
  <c r="AC219" i="1" l="1"/>
  <c r="AD219" i="1" s="1"/>
  <c r="AE219" i="1" s="1"/>
  <c r="AB219" i="1" s="1"/>
  <c r="AF219" i="1"/>
  <c r="AU297" i="1"/>
  <c r="AP297" i="1"/>
  <c r="AG218" i="1"/>
  <c r="AC220" i="1" l="1"/>
  <c r="AD220" i="1" s="1"/>
  <c r="AE220" i="1" s="1"/>
  <c r="AB220" i="1" s="1"/>
  <c r="AG219" i="1"/>
  <c r="AQ298" i="1"/>
  <c r="AT298" i="1" s="1"/>
  <c r="AF220" i="1" l="1"/>
  <c r="AF221" i="1" s="1"/>
  <c r="AC221" i="1"/>
  <c r="AD221" i="1"/>
  <c r="AE221" i="1" s="1"/>
  <c r="AB221" i="1" s="1"/>
  <c r="AR298" i="1"/>
  <c r="AS298" i="1" s="1"/>
  <c r="AG220" i="1"/>
  <c r="AG221" i="1" s="1"/>
  <c r="AC222" i="1" l="1"/>
  <c r="AD222" i="1" s="1"/>
  <c r="AE222" i="1" s="1"/>
  <c r="AF222" i="1"/>
  <c r="AP298" i="1"/>
  <c r="AU298" i="1"/>
  <c r="AB222" i="1" l="1"/>
  <c r="AG222" i="1"/>
  <c r="AQ299" i="1"/>
  <c r="AT299" i="1" s="1"/>
  <c r="AR299" i="1" l="1"/>
  <c r="AS299" i="1" s="1"/>
  <c r="AC223" i="1"/>
  <c r="AF223" i="1" s="1"/>
  <c r="AD223" i="1" l="1"/>
  <c r="AE223" i="1" s="1"/>
  <c r="AP299" i="1"/>
  <c r="AU299" i="1"/>
  <c r="AQ300" i="1" l="1"/>
  <c r="AT300" i="1" s="1"/>
  <c r="AR300" i="1"/>
  <c r="AS300" i="1" s="1"/>
  <c r="AP300" i="1" s="1"/>
  <c r="AB223" i="1"/>
  <c r="AG223" i="1"/>
  <c r="AQ301" i="1" l="1"/>
  <c r="AT301" i="1" s="1"/>
  <c r="AC224" i="1"/>
  <c r="AF224" i="1" s="1"/>
  <c r="AU300" i="1"/>
  <c r="AD224" i="1" l="1"/>
  <c r="AE224" i="1" s="1"/>
  <c r="AR301" i="1"/>
  <c r="AS301" i="1" s="1"/>
  <c r="AP301" i="1" s="1"/>
  <c r="AQ302" i="1" l="1"/>
  <c r="AT302" i="1" s="1"/>
  <c r="AG224" i="1"/>
  <c r="AB224" i="1"/>
  <c r="AU301" i="1"/>
  <c r="AC225" i="1" l="1"/>
  <c r="AF225" i="1" s="1"/>
  <c r="AD225" i="1"/>
  <c r="AE225" i="1" s="1"/>
  <c r="AB225" i="1" s="1"/>
  <c r="AG225" i="1"/>
  <c r="AR302" i="1"/>
  <c r="AS302" i="1" s="1"/>
  <c r="AP302" i="1" s="1"/>
  <c r="AC226" i="1" l="1"/>
  <c r="AD226" i="1" s="1"/>
  <c r="AE226" i="1" s="1"/>
  <c r="AQ303" i="1"/>
  <c r="AT303" i="1" s="1"/>
  <c r="AU302" i="1"/>
  <c r="AB226" i="1" l="1"/>
  <c r="AG226" i="1"/>
  <c r="AR303" i="1"/>
  <c r="AS303" i="1" s="1"/>
  <c r="AP303" i="1" s="1"/>
  <c r="AF226" i="1"/>
  <c r="AQ304" i="1" l="1"/>
  <c r="AT304" i="1" s="1"/>
  <c r="AU303" i="1"/>
  <c r="AC227" i="1"/>
  <c r="AF227" i="1" s="1"/>
  <c r="AD227" i="1" l="1"/>
  <c r="AE227" i="1" s="1"/>
  <c r="AR304" i="1"/>
  <c r="AS304" i="1" s="1"/>
  <c r="AP304" i="1" s="1"/>
  <c r="AQ305" i="1" l="1"/>
  <c r="AT305" i="1" s="1"/>
  <c r="AB227" i="1"/>
  <c r="AG227" i="1"/>
  <c r="AU304" i="1"/>
  <c r="AC228" i="1" l="1"/>
  <c r="AF228" i="1" s="1"/>
  <c r="AR305" i="1"/>
  <c r="AS305" i="1" s="1"/>
  <c r="AP305" i="1" s="1"/>
  <c r="AU305" i="1" l="1"/>
  <c r="AQ306" i="1"/>
  <c r="AT306" i="1" s="1"/>
  <c r="AD228" i="1"/>
  <c r="AE228" i="1" s="1"/>
  <c r="AB228" i="1" l="1"/>
  <c r="AG228" i="1"/>
  <c r="AR306" i="1"/>
  <c r="AS306" i="1" s="1"/>
  <c r="AP306" i="1" s="1"/>
  <c r="AQ307" i="1" l="1"/>
  <c r="AT307" i="1" s="1"/>
  <c r="AU306" i="1"/>
  <c r="AC229" i="1"/>
  <c r="AF229" i="1" s="1"/>
  <c r="AD229" i="1"/>
  <c r="AE229" i="1" s="1"/>
  <c r="AG229" i="1" s="1"/>
  <c r="AB229" i="1" l="1"/>
  <c r="AR307" i="1"/>
  <c r="AS307" i="1" s="1"/>
  <c r="AP307" i="1" s="1"/>
  <c r="AQ308" i="1" l="1"/>
  <c r="AT308" i="1" s="1"/>
  <c r="AR308" i="1"/>
  <c r="AS308" i="1" s="1"/>
  <c r="AP308" i="1" s="1"/>
  <c r="AC230" i="1"/>
  <c r="AF230" i="1" s="1"/>
  <c r="AU307" i="1"/>
  <c r="AU308" i="1" s="1"/>
  <c r="AQ309" i="1" l="1"/>
  <c r="AR309" i="1" s="1"/>
  <c r="AS309" i="1" s="1"/>
  <c r="AD230" i="1"/>
  <c r="AE230" i="1" s="1"/>
  <c r="AT309" i="1"/>
  <c r="AP309" i="1" l="1"/>
  <c r="AU309" i="1"/>
  <c r="AG230" i="1"/>
  <c r="AB230" i="1"/>
  <c r="AC231" i="1" l="1"/>
  <c r="AF231" i="1" s="1"/>
  <c r="AQ310" i="1"/>
  <c r="AT310" i="1" s="1"/>
  <c r="AR310" i="1" l="1"/>
  <c r="AS310" i="1" s="1"/>
  <c r="AD231" i="1"/>
  <c r="AE231" i="1" s="1"/>
  <c r="AB231" i="1" l="1"/>
  <c r="AG231" i="1"/>
  <c r="AU310" i="1"/>
  <c r="AP310" i="1"/>
  <c r="AQ311" i="1" l="1"/>
  <c r="AT311" i="1" s="1"/>
  <c r="AC232" i="1"/>
  <c r="AF232" i="1" s="1"/>
  <c r="AD232" i="1" l="1"/>
  <c r="AE232" i="1" s="1"/>
  <c r="AG232" i="1" s="1"/>
  <c r="AB232" i="1"/>
  <c r="AR311" i="1"/>
  <c r="AS311" i="1" s="1"/>
  <c r="AU311" i="1" l="1"/>
  <c r="AP311" i="1"/>
  <c r="AC233" i="1"/>
  <c r="AF233" i="1" s="1"/>
  <c r="AD233" i="1"/>
  <c r="AE233" i="1" s="1"/>
  <c r="AG233" i="1" s="1"/>
  <c r="AQ312" i="1" l="1"/>
  <c r="AT312" i="1" s="1"/>
  <c r="AB233" i="1"/>
  <c r="AC234" i="1" l="1"/>
  <c r="AF234" i="1" s="1"/>
  <c r="AR312" i="1"/>
  <c r="AS312" i="1" s="1"/>
  <c r="AP312" i="1" l="1"/>
  <c r="AU312" i="1"/>
  <c r="AD234" i="1"/>
  <c r="AE234" i="1" s="1"/>
  <c r="AG234" i="1" l="1"/>
  <c r="AB234" i="1"/>
  <c r="AQ313" i="1"/>
  <c r="AT313" i="1" s="1"/>
  <c r="AR313" i="1" l="1"/>
  <c r="AS313" i="1" s="1"/>
  <c r="AC235" i="1"/>
  <c r="AF235" i="1" s="1"/>
  <c r="AD235" i="1" l="1"/>
  <c r="AE235" i="1" s="1"/>
  <c r="AP313" i="1"/>
  <c r="AU313" i="1"/>
  <c r="AQ314" i="1" l="1"/>
  <c r="AT314" i="1" s="1"/>
  <c r="AB235" i="1"/>
  <c r="AG235" i="1"/>
  <c r="AC236" i="1" l="1"/>
  <c r="AF236" i="1" s="1"/>
  <c r="AR314" i="1"/>
  <c r="AS314" i="1" s="1"/>
  <c r="AU314" i="1" l="1"/>
  <c r="AP314" i="1"/>
  <c r="AD236" i="1"/>
  <c r="AE236" i="1" s="1"/>
  <c r="AG236" i="1" l="1"/>
  <c r="AB236" i="1"/>
  <c r="AQ315" i="1"/>
  <c r="AT315" i="1" s="1"/>
  <c r="AR315" i="1" l="1"/>
  <c r="AS315" i="1" s="1"/>
  <c r="AC237" i="1"/>
  <c r="AF237" i="1" s="1"/>
  <c r="AD237" i="1" l="1"/>
  <c r="AE237" i="1" s="1"/>
  <c r="AP315" i="1"/>
  <c r="AU315" i="1"/>
  <c r="AQ316" i="1" l="1"/>
  <c r="AT316" i="1" s="1"/>
  <c r="AB237" i="1"/>
  <c r="AG237" i="1"/>
  <c r="AR316" i="1" l="1"/>
  <c r="AC238" i="1"/>
  <c r="AF238" i="1" s="1"/>
  <c r="AS316" i="1"/>
  <c r="AU316" i="1" l="1"/>
  <c r="AP316" i="1"/>
  <c r="AD238" i="1"/>
  <c r="AE238" i="1" s="1"/>
  <c r="AG238" i="1" l="1"/>
  <c r="AB238" i="1"/>
  <c r="AQ317" i="1"/>
  <c r="AT317" i="1" s="1"/>
  <c r="AR317" i="1"/>
  <c r="AS317" i="1" l="1"/>
  <c r="AC239" i="1"/>
  <c r="AF239" i="1" s="1"/>
  <c r="AD239" i="1" l="1"/>
  <c r="AE239" i="1" s="1"/>
  <c r="AP317" i="1"/>
  <c r="AU317" i="1"/>
  <c r="AQ318" i="1" l="1"/>
  <c r="AT318" i="1" s="1"/>
  <c r="AG239" i="1"/>
  <c r="AB239" i="1"/>
  <c r="AR318" i="1" l="1"/>
  <c r="AC240" i="1"/>
  <c r="AF240" i="1" s="1"/>
  <c r="AS318" i="1"/>
  <c r="AP318" i="1" l="1"/>
  <c r="AU318" i="1"/>
  <c r="AD240" i="1"/>
  <c r="AE240" i="1" s="1"/>
  <c r="AG240" i="1" l="1"/>
  <c r="AB240" i="1"/>
  <c r="AQ319" i="1"/>
  <c r="AT319" i="1" s="1"/>
  <c r="AR319" i="1" l="1"/>
  <c r="AS319" i="1"/>
  <c r="AU319" i="1" s="1"/>
  <c r="AP319" i="1"/>
  <c r="AC241" i="1"/>
  <c r="AF241" i="1" s="1"/>
  <c r="AD241" i="1" l="1"/>
  <c r="AE241" i="1"/>
  <c r="AB241" i="1" s="1"/>
  <c r="AC242" i="1"/>
  <c r="AD242" i="1" s="1"/>
  <c r="AE242" i="1" s="1"/>
  <c r="AB242" i="1" s="1"/>
  <c r="AG241" i="1"/>
  <c r="AQ320" i="1"/>
  <c r="AT320" i="1" s="1"/>
  <c r="AF242" i="1" l="1"/>
  <c r="AR320" i="1"/>
  <c r="AS320" i="1"/>
  <c r="AU320" i="1" s="1"/>
  <c r="AC243" i="1"/>
  <c r="AD243" i="1" s="1"/>
  <c r="AE243" i="1" s="1"/>
  <c r="AB243" i="1" s="1"/>
  <c r="AP320" i="1"/>
  <c r="AF243" i="1"/>
  <c r="AG242" i="1"/>
  <c r="AC244" i="1" l="1"/>
  <c r="AD244" i="1" s="1"/>
  <c r="AE244" i="1" s="1"/>
  <c r="AB244" i="1" s="1"/>
  <c r="AG243" i="1"/>
  <c r="AF244" i="1"/>
  <c r="AQ321" i="1"/>
  <c r="AT321" i="1" s="1"/>
  <c r="AR321" i="1"/>
  <c r="AS321" i="1" s="1"/>
  <c r="AU321" i="1" s="1"/>
  <c r="AC245" i="1" l="1"/>
  <c r="AD245" i="1"/>
  <c r="AE245" i="1" s="1"/>
  <c r="AB245" i="1" s="1"/>
  <c r="AF245" i="1"/>
  <c r="AP321" i="1"/>
  <c r="AG244" i="1"/>
  <c r="AG245" i="1" s="1"/>
  <c r="AC246" i="1" l="1"/>
  <c r="AD246" i="1" s="1"/>
  <c r="AE246" i="1" s="1"/>
  <c r="AF246" i="1"/>
  <c r="AR322" i="1"/>
  <c r="AQ322" i="1"/>
  <c r="AT322" i="1" s="1"/>
  <c r="AB246" i="1" l="1"/>
  <c r="AG246" i="1"/>
  <c r="AS322" i="1"/>
  <c r="AU322" i="1" l="1"/>
  <c r="AP322" i="1"/>
  <c r="AC247" i="1"/>
  <c r="AF247" i="1" s="1"/>
  <c r="AD247" i="1" l="1"/>
  <c r="AE247" i="1" s="1"/>
  <c r="AR323" i="1"/>
  <c r="AQ323" i="1"/>
  <c r="AT323" i="1" s="1"/>
  <c r="AS323" i="1" l="1"/>
  <c r="AG247" i="1"/>
  <c r="AB247" i="1"/>
  <c r="AC248" i="1" l="1"/>
  <c r="AF248" i="1" s="1"/>
  <c r="AP323" i="1"/>
  <c r="AU323" i="1"/>
  <c r="AR324" i="1" l="1"/>
  <c r="AQ324" i="1"/>
  <c r="AT324" i="1" s="1"/>
  <c r="AD248" i="1"/>
  <c r="AE248" i="1" s="1"/>
  <c r="AG248" i="1" l="1"/>
  <c r="AB248" i="1"/>
  <c r="AS324" i="1"/>
  <c r="AU324" i="1" l="1"/>
  <c r="AP324" i="1"/>
  <c r="AC249" i="1"/>
  <c r="AF249" i="1" s="1"/>
  <c r="AD249" i="1" l="1"/>
  <c r="AE249" i="1" s="1"/>
  <c r="AB249" i="1" s="1"/>
  <c r="AC250" i="1" s="1"/>
  <c r="AQ325" i="1"/>
  <c r="AT325" i="1" s="1"/>
  <c r="AR325" i="1"/>
  <c r="AS325" i="1" l="1"/>
  <c r="AU325" i="1" s="1"/>
  <c r="AD250" i="1"/>
  <c r="AE250" i="1" s="1"/>
  <c r="AB250" i="1" s="1"/>
  <c r="AF250" i="1"/>
  <c r="AG249" i="1"/>
  <c r="AC251" i="1"/>
  <c r="AD251" i="1" s="1"/>
  <c r="AE251" i="1" s="1"/>
  <c r="AB251" i="1" s="1"/>
  <c r="AG250" i="1"/>
  <c r="AP325" i="1"/>
  <c r="AF251" i="1"/>
  <c r="AC252" i="1" l="1"/>
  <c r="AD252" i="1" s="1"/>
  <c r="AE252" i="1" s="1"/>
  <c r="AB252" i="1" s="1"/>
  <c r="AF252" i="1"/>
  <c r="AR326" i="1"/>
  <c r="AQ326" i="1"/>
  <c r="AT326" i="1" s="1"/>
  <c r="AG251" i="1"/>
  <c r="AS326" i="1" l="1"/>
  <c r="AU326" i="1" s="1"/>
  <c r="AC253" i="1"/>
  <c r="AD253" i="1" s="1"/>
  <c r="AG252" i="1"/>
  <c r="AP326" i="1"/>
  <c r="AF253" i="1"/>
  <c r="AE253" i="1" l="1"/>
  <c r="AB253" i="1" s="1"/>
  <c r="AC254" i="1" s="1"/>
  <c r="AR327" i="1"/>
  <c r="AQ327" i="1"/>
  <c r="AT327" i="1" s="1"/>
  <c r="AD254" i="1" l="1"/>
  <c r="AE254" i="1" s="1"/>
  <c r="AF254" i="1"/>
  <c r="AG253" i="1"/>
  <c r="AB254" i="1"/>
  <c r="AG254" i="1"/>
  <c r="AS327" i="1"/>
  <c r="AU327" i="1" l="1"/>
  <c r="AP327" i="1"/>
  <c r="AC255" i="1"/>
  <c r="AF255" i="1" s="1"/>
  <c r="AD255" i="1" l="1"/>
  <c r="AE255" i="1" s="1"/>
  <c r="AR328" i="1"/>
  <c r="AQ328" i="1"/>
  <c r="AT328" i="1" s="1"/>
  <c r="AS328" i="1" l="1"/>
  <c r="AB255" i="1"/>
  <c r="AG255" i="1"/>
  <c r="AC256" i="1" l="1"/>
  <c r="AF256" i="1" s="1"/>
  <c r="AP328" i="1"/>
  <c r="AU328" i="1"/>
  <c r="AQ329" i="1" l="1"/>
  <c r="AT329" i="1" s="1"/>
  <c r="AR329" i="1"/>
  <c r="AD256" i="1"/>
  <c r="AE256" i="1" s="1"/>
  <c r="AS329" i="1" l="1"/>
  <c r="AU329" i="1" s="1"/>
  <c r="AG256" i="1"/>
  <c r="AB256" i="1"/>
  <c r="AP329" i="1" l="1"/>
  <c r="AR330" i="1"/>
  <c r="AQ330" i="1"/>
  <c r="AT330" i="1" s="1"/>
  <c r="AC257" i="1"/>
  <c r="AF257" i="1" s="1"/>
  <c r="AD257" i="1" l="1"/>
  <c r="AE257" i="1" s="1"/>
  <c r="AB257" i="1" s="1"/>
  <c r="AC258" i="1" s="1"/>
  <c r="AG257" i="1"/>
  <c r="AS330" i="1"/>
  <c r="AD258" i="1" l="1"/>
  <c r="AE258" i="1" s="1"/>
  <c r="AB258" i="1" s="1"/>
  <c r="AC259" i="1" s="1"/>
  <c r="AF258" i="1"/>
  <c r="AU330" i="1"/>
  <c r="AP330" i="1"/>
  <c r="AG258" i="1"/>
  <c r="AD259" i="1" l="1"/>
  <c r="AE259" i="1" s="1"/>
  <c r="AB259" i="1" s="1"/>
  <c r="AC260" i="1" s="1"/>
  <c r="AD260" i="1" s="1"/>
  <c r="AE260" i="1" s="1"/>
  <c r="AB260" i="1" s="1"/>
  <c r="AF259" i="1"/>
  <c r="AR331" i="1"/>
  <c r="AQ331" i="1"/>
  <c r="AT331" i="1" s="1"/>
  <c r="AG259" i="1" l="1"/>
  <c r="AS331" i="1"/>
  <c r="AU331" i="1" s="1"/>
  <c r="AC261" i="1"/>
  <c r="AD261" i="1" s="1"/>
  <c r="AE261" i="1" s="1"/>
  <c r="AB261" i="1" s="1"/>
  <c r="AP331" i="1"/>
  <c r="AG260" i="1"/>
  <c r="AF260" i="1"/>
  <c r="AF261" i="1" s="1"/>
  <c r="AG261" i="1" l="1"/>
  <c r="AC262" i="1"/>
  <c r="AD262" i="1" s="1"/>
  <c r="AE262" i="1" s="1"/>
  <c r="AF262" i="1"/>
  <c r="AR332" i="1"/>
  <c r="AQ332" i="1"/>
  <c r="AT332" i="1" s="1"/>
  <c r="AS332" i="1" l="1"/>
  <c r="AU332" i="1" s="1"/>
  <c r="AB262" i="1"/>
  <c r="AG262" i="1"/>
  <c r="AP332" i="1"/>
  <c r="AQ333" i="1" l="1"/>
  <c r="AT333" i="1" s="1"/>
  <c r="AR333" i="1"/>
  <c r="AS333" i="1" s="1"/>
  <c r="AU333" i="1" s="1"/>
  <c r="AC263" i="1"/>
  <c r="AF263" i="1" s="1"/>
  <c r="AD263" i="1" l="1"/>
  <c r="AE263" i="1" s="1"/>
  <c r="AP333" i="1"/>
  <c r="AR334" i="1" l="1"/>
  <c r="AQ334" i="1"/>
  <c r="AT334" i="1" s="1"/>
  <c r="AB263" i="1"/>
  <c r="AG263" i="1"/>
  <c r="AC264" i="1" l="1"/>
  <c r="AF264" i="1" s="1"/>
  <c r="AS334" i="1"/>
  <c r="AU334" i="1" l="1"/>
  <c r="AP334" i="1"/>
  <c r="AD264" i="1"/>
  <c r="AE264" i="1" s="1"/>
  <c r="AB264" i="1" l="1"/>
  <c r="AG264" i="1"/>
  <c r="AR335" i="1"/>
  <c r="AQ335" i="1"/>
  <c r="AT335" i="1" s="1"/>
  <c r="AS335" i="1" l="1"/>
  <c r="AC265" i="1"/>
  <c r="AF265" i="1" s="1"/>
  <c r="AD265" i="1" l="1"/>
  <c r="AE265" i="1"/>
  <c r="AG265" i="1" s="1"/>
  <c r="AB265" i="1"/>
  <c r="AP335" i="1"/>
  <c r="AU335" i="1"/>
  <c r="AR336" i="1" l="1"/>
  <c r="AQ336" i="1"/>
  <c r="AT336" i="1" s="1"/>
  <c r="AC266" i="1"/>
  <c r="AF266" i="1" s="1"/>
  <c r="AD266" i="1" l="1"/>
  <c r="AE266" i="1" s="1"/>
  <c r="AS336" i="1"/>
  <c r="AU336" i="1" l="1"/>
  <c r="AP336" i="1"/>
  <c r="AG266" i="1"/>
  <c r="AB266" i="1"/>
  <c r="AC267" i="1" l="1"/>
  <c r="AF267" i="1" s="1"/>
  <c r="AR337" i="1"/>
  <c r="AQ337" i="1"/>
  <c r="AT337" i="1" s="1"/>
  <c r="AS337" i="1" l="1"/>
  <c r="AD267" i="1"/>
  <c r="AE267" i="1" s="1"/>
  <c r="AB267" i="1" l="1"/>
  <c r="AG267" i="1"/>
  <c r="AP337" i="1"/>
  <c r="AU337" i="1"/>
  <c r="AR338" i="1" l="1"/>
  <c r="AQ338" i="1"/>
  <c r="AT338" i="1" s="1"/>
  <c r="AC268" i="1"/>
  <c r="AF268" i="1" s="1"/>
  <c r="AD268" i="1" l="1"/>
  <c r="AE268" i="1" s="1"/>
  <c r="AS338" i="1"/>
  <c r="AU338" i="1" l="1"/>
  <c r="AP338" i="1"/>
  <c r="AG268" i="1"/>
  <c r="AB268" i="1"/>
  <c r="AC269" i="1" l="1"/>
  <c r="AF269" i="1" s="1"/>
  <c r="AD269" i="1"/>
  <c r="AE269" i="1" s="1"/>
  <c r="AG269" i="1" s="1"/>
  <c r="AR339" i="1"/>
  <c r="AQ339" i="1"/>
  <c r="AT339" i="1" s="1"/>
  <c r="AS339" i="1" l="1"/>
  <c r="AB269" i="1"/>
  <c r="AC270" i="1" l="1"/>
  <c r="AF270" i="1" s="1"/>
  <c r="AU339" i="1"/>
  <c r="AP339" i="1"/>
  <c r="AR340" i="1" l="1"/>
  <c r="AQ340" i="1"/>
  <c r="AT340" i="1" s="1"/>
  <c r="AD270" i="1"/>
  <c r="AE270" i="1" s="1"/>
  <c r="AG270" i="1" l="1"/>
  <c r="AB270" i="1"/>
  <c r="AS340" i="1"/>
  <c r="AP340" i="1" l="1"/>
  <c r="AU340" i="1"/>
  <c r="AC271" i="1"/>
  <c r="AF271" i="1" s="1"/>
  <c r="AD271" i="1" l="1"/>
  <c r="AE271" i="1" s="1"/>
  <c r="AR341" i="1"/>
  <c r="AQ341" i="1"/>
  <c r="AT341" i="1" s="1"/>
  <c r="AS341" i="1" l="1"/>
  <c r="AB271" i="1"/>
  <c r="AG271" i="1"/>
  <c r="AC272" i="1" l="1"/>
  <c r="AF272" i="1" s="1"/>
  <c r="AU341" i="1"/>
  <c r="AP341" i="1"/>
  <c r="AR342" i="1" l="1"/>
  <c r="AQ342" i="1"/>
  <c r="AT342" i="1" s="1"/>
  <c r="AD272" i="1"/>
  <c r="AE272" i="1" s="1"/>
  <c r="AG272" i="1" l="1"/>
  <c r="AB272" i="1"/>
  <c r="AS342" i="1"/>
  <c r="AP342" i="1" l="1"/>
  <c r="AU342" i="1"/>
  <c r="AC273" i="1"/>
  <c r="AF273" i="1" s="1"/>
  <c r="AD273" i="1" l="1"/>
  <c r="AE273" i="1" s="1"/>
  <c r="AQ343" i="1"/>
  <c r="AT343" i="1" s="1"/>
  <c r="AR343" i="1"/>
  <c r="AS343" i="1" l="1"/>
  <c r="AP343" i="1" s="1"/>
  <c r="AQ344" i="1" s="1"/>
  <c r="AT344" i="1" s="1"/>
  <c r="AB273" i="1"/>
  <c r="AG273" i="1"/>
  <c r="AU343" i="1" l="1"/>
  <c r="AR344" i="1"/>
  <c r="AS344" i="1" s="1"/>
  <c r="AP344" i="1" s="1"/>
  <c r="AR345" i="1" s="1"/>
  <c r="AC274" i="1"/>
  <c r="AF274" i="1" s="1"/>
  <c r="AD274" i="1"/>
  <c r="AE274" i="1" s="1"/>
  <c r="AG274" i="1" s="1"/>
  <c r="AQ345" i="1" l="1"/>
  <c r="AT345" i="1" s="1"/>
  <c r="AU344" i="1"/>
  <c r="AB274" i="1"/>
  <c r="AS345" i="1"/>
  <c r="AP345" i="1" l="1"/>
  <c r="AU345" i="1"/>
  <c r="AC275" i="1"/>
  <c r="AF275" i="1" s="1"/>
  <c r="AD275" i="1" l="1"/>
  <c r="AE275" i="1" s="1"/>
  <c r="AG275" i="1" s="1"/>
  <c r="AR346" i="1"/>
  <c r="AQ346" i="1"/>
  <c r="AT346" i="1" s="1"/>
  <c r="AB275" i="1" l="1"/>
  <c r="AS346" i="1"/>
  <c r="AC276" i="1"/>
  <c r="AF276" i="1" s="1"/>
  <c r="AD276" i="1" l="1"/>
  <c r="AE276" i="1" s="1"/>
  <c r="AG276" i="1" s="1"/>
  <c r="AP346" i="1"/>
  <c r="AU346" i="1"/>
  <c r="AB276" i="1" l="1"/>
  <c r="AQ347" i="1"/>
  <c r="AT347" i="1" s="1"/>
  <c r="AR347" i="1"/>
  <c r="AS347" i="1" s="1"/>
  <c r="AU347" i="1" s="1"/>
  <c r="AC277" i="1"/>
  <c r="AF277" i="1" s="1"/>
  <c r="AP347" i="1" l="1"/>
  <c r="AQ348" i="1"/>
  <c r="AR348" i="1"/>
  <c r="AS348" i="1" s="1"/>
  <c r="AU348" i="1" s="1"/>
  <c r="AD277" i="1"/>
  <c r="AE277" i="1" s="1"/>
  <c r="AT348" i="1"/>
  <c r="AG277" i="1" l="1"/>
  <c r="AB277" i="1"/>
  <c r="AP348" i="1"/>
  <c r="AR349" i="1" l="1"/>
  <c r="AQ349" i="1"/>
  <c r="AT349" i="1" s="1"/>
  <c r="AC278" i="1"/>
  <c r="AF278" i="1" s="1"/>
  <c r="AD278" i="1" l="1"/>
  <c r="AE278" i="1" s="1"/>
  <c r="AG278" i="1" s="1"/>
  <c r="AB278" i="1"/>
  <c r="AS349" i="1"/>
  <c r="AU349" i="1" l="1"/>
  <c r="AP349" i="1"/>
  <c r="AC279" i="1"/>
  <c r="AF279" i="1" s="1"/>
  <c r="AD279" i="1" l="1"/>
  <c r="AE279" i="1" s="1"/>
  <c r="AR350" i="1"/>
  <c r="AQ350" i="1"/>
  <c r="AT350" i="1" s="1"/>
  <c r="AS350" i="1" l="1"/>
  <c r="AP350" i="1" s="1"/>
  <c r="AQ351" i="1"/>
  <c r="AR351" i="1"/>
  <c r="AS351" i="1" s="1"/>
  <c r="AP351" i="1" s="1"/>
  <c r="AU350" i="1"/>
  <c r="AT351" i="1"/>
  <c r="AG279" i="1"/>
  <c r="AB279" i="1"/>
  <c r="AR352" i="1" l="1"/>
  <c r="AQ352" i="1"/>
  <c r="AC280" i="1"/>
  <c r="AF280" i="1" s="1"/>
  <c r="AT352" i="1"/>
  <c r="AU351" i="1"/>
  <c r="AD280" i="1" l="1"/>
  <c r="AE280" i="1" s="1"/>
  <c r="AS352" i="1"/>
  <c r="AP352" i="1" s="1"/>
  <c r="AR353" i="1" l="1"/>
  <c r="AQ353" i="1"/>
  <c r="AT353" i="1" s="1"/>
  <c r="AU352" i="1"/>
  <c r="AB280" i="1"/>
  <c r="AG280" i="1"/>
  <c r="AC281" i="1" l="1"/>
  <c r="AF281" i="1" s="1"/>
  <c r="AS353" i="1"/>
  <c r="AP353" i="1" s="1"/>
  <c r="AR354" i="1" l="1"/>
  <c r="AQ354" i="1"/>
  <c r="AT354" i="1" s="1"/>
  <c r="AD281" i="1"/>
  <c r="AE281" i="1" s="1"/>
  <c r="AU353" i="1"/>
  <c r="AG281" i="1" l="1"/>
  <c r="AB281" i="1"/>
  <c r="AS354" i="1"/>
  <c r="AP354" i="1" s="1"/>
  <c r="AQ355" i="1" l="1"/>
  <c r="AT355" i="1" s="1"/>
  <c r="AR355" i="1"/>
  <c r="AS355" i="1" s="1"/>
  <c r="AP355" i="1" s="1"/>
  <c r="AC282" i="1"/>
  <c r="AF282" i="1" s="1"/>
  <c r="AD282" i="1"/>
  <c r="AE282" i="1" s="1"/>
  <c r="AB282" i="1" s="1"/>
  <c r="AU354" i="1"/>
  <c r="AU355" i="1" s="1"/>
  <c r="AG282" i="1" l="1"/>
  <c r="AC283" i="1"/>
  <c r="AD283" i="1" s="1"/>
  <c r="AE283" i="1" s="1"/>
  <c r="AR356" i="1"/>
  <c r="AQ356" i="1"/>
  <c r="AT356" i="1" s="1"/>
  <c r="AB283" i="1" l="1"/>
  <c r="AG283" i="1"/>
  <c r="AS356" i="1"/>
  <c r="AF283" i="1"/>
  <c r="AU356" i="1" l="1"/>
  <c r="AP356" i="1"/>
  <c r="AC284" i="1"/>
  <c r="AD284" i="1" s="1"/>
  <c r="AE284" i="1" s="1"/>
  <c r="AG284" i="1" l="1"/>
  <c r="AB284" i="1"/>
  <c r="AF284" i="1"/>
  <c r="AR357" i="1"/>
  <c r="AQ357" i="1"/>
  <c r="AT357" i="1" s="1"/>
  <c r="AS357" i="1" l="1"/>
  <c r="AC285" i="1"/>
  <c r="AF285" i="1" s="1"/>
  <c r="AD285" i="1" l="1"/>
  <c r="AE285" i="1" s="1"/>
  <c r="AB285" i="1" s="1"/>
  <c r="AC286" i="1" s="1"/>
  <c r="AF286" i="1" s="1"/>
  <c r="AP357" i="1"/>
  <c r="AU357" i="1"/>
  <c r="AG285" i="1" l="1"/>
  <c r="AD286" i="1"/>
  <c r="AE286" i="1"/>
  <c r="AB286" i="1" s="1"/>
  <c r="AC287" i="1" s="1"/>
  <c r="AD287" i="1" s="1"/>
  <c r="AE287" i="1" s="1"/>
  <c r="AR358" i="1"/>
  <c r="AQ358" i="1"/>
  <c r="AT358" i="1" s="1"/>
  <c r="AF287" i="1" l="1"/>
  <c r="AG286" i="1"/>
  <c r="AS358" i="1"/>
  <c r="AU358" i="1" s="1"/>
  <c r="AB287" i="1"/>
  <c r="AG287" i="1"/>
  <c r="AP358" i="1"/>
  <c r="AQ359" i="1" l="1"/>
  <c r="AT359" i="1" s="1"/>
  <c r="AR359" i="1"/>
  <c r="AS359" i="1" s="1"/>
  <c r="AU359" i="1" s="1"/>
  <c r="AC288" i="1"/>
  <c r="AF288" i="1" s="1"/>
  <c r="AD288" i="1" l="1"/>
  <c r="AE288" i="1" s="1"/>
  <c r="AP359" i="1"/>
  <c r="AQ360" i="1" l="1"/>
  <c r="AT360" i="1" s="1"/>
  <c r="AR360" i="1"/>
  <c r="AG288" i="1"/>
  <c r="AB288" i="1"/>
  <c r="AS360" i="1" l="1"/>
  <c r="AU360" i="1" s="1"/>
  <c r="AC289" i="1"/>
  <c r="AF289" i="1" s="1"/>
  <c r="AP360" i="1"/>
  <c r="AR361" i="1" l="1"/>
  <c r="AQ361" i="1"/>
  <c r="AT361" i="1" s="1"/>
  <c r="AD289" i="1"/>
  <c r="AE289" i="1" s="1"/>
  <c r="AB289" i="1" l="1"/>
  <c r="AG289" i="1"/>
  <c r="AS361" i="1"/>
  <c r="AU361" i="1" l="1"/>
  <c r="AP361" i="1"/>
  <c r="AC290" i="1"/>
  <c r="AF290" i="1" s="1"/>
  <c r="AD290" i="1"/>
  <c r="AE290" i="1" s="1"/>
  <c r="AG290" i="1" s="1"/>
  <c r="AR362" i="1" l="1"/>
  <c r="AQ362" i="1"/>
  <c r="AT362" i="1" s="1"/>
  <c r="AB290" i="1"/>
  <c r="AC291" i="1" l="1"/>
  <c r="AF291" i="1" s="1"/>
  <c r="AS362" i="1"/>
  <c r="AP362" i="1" l="1"/>
  <c r="AU362" i="1"/>
  <c r="AD291" i="1"/>
  <c r="AE291" i="1" s="1"/>
  <c r="AG291" i="1" l="1"/>
  <c r="AB291" i="1"/>
  <c r="AQ363" i="1"/>
  <c r="AT363" i="1" s="1"/>
  <c r="AR363" i="1"/>
  <c r="AS363" i="1" l="1"/>
  <c r="AU363" i="1" s="1"/>
  <c r="AP363" i="1"/>
  <c r="AC292" i="1"/>
  <c r="AF292" i="1" s="1"/>
  <c r="AD292" i="1" l="1"/>
  <c r="AE292" i="1" s="1"/>
  <c r="AQ364" i="1"/>
  <c r="AT364" i="1" s="1"/>
  <c r="AR364" i="1"/>
  <c r="AS364" i="1" l="1"/>
  <c r="AU364" i="1" s="1"/>
  <c r="AB292" i="1"/>
  <c r="AG292" i="1"/>
  <c r="AP364" i="1"/>
  <c r="AR365" i="1" l="1"/>
  <c r="AQ365" i="1"/>
  <c r="AT365" i="1" s="1"/>
  <c r="AC293" i="1"/>
  <c r="AF293" i="1" s="1"/>
  <c r="AD293" i="1" l="1"/>
  <c r="AE293" i="1" s="1"/>
  <c r="AS365" i="1"/>
  <c r="AU365" i="1" l="1"/>
  <c r="AP365" i="1"/>
  <c r="AG293" i="1"/>
  <c r="AB293" i="1"/>
  <c r="AC294" i="1" l="1"/>
  <c r="AF294" i="1" s="1"/>
  <c r="AD294" i="1"/>
  <c r="AE294" i="1" s="1"/>
  <c r="AG294" i="1" s="1"/>
  <c r="AR366" i="1"/>
  <c r="AQ366" i="1"/>
  <c r="AT366" i="1" s="1"/>
  <c r="AS366" i="1" l="1"/>
  <c r="AU366" i="1" s="1"/>
  <c r="AP366" i="1"/>
  <c r="AB294" i="1"/>
  <c r="AC295" i="1" l="1"/>
  <c r="AF295" i="1" s="1"/>
  <c r="AQ367" i="1"/>
  <c r="AT367" i="1" s="1"/>
  <c r="AR367" i="1"/>
  <c r="AS367" i="1" s="1"/>
  <c r="AU367" i="1" s="1"/>
  <c r="AP367" i="1" l="1"/>
  <c r="AD295" i="1"/>
  <c r="AE295" i="1" s="1"/>
  <c r="AG295" i="1" l="1"/>
  <c r="AB295" i="1"/>
  <c r="AR368" i="1"/>
  <c r="AQ368" i="1"/>
  <c r="AT368" i="1" s="1"/>
  <c r="AS368" i="1" l="1"/>
  <c r="AC296" i="1"/>
  <c r="AF296" i="1" s="1"/>
  <c r="AD296" i="1" l="1"/>
  <c r="AE296" i="1" s="1"/>
  <c r="AU368" i="1"/>
  <c r="AP368" i="1"/>
  <c r="AR369" i="1" l="1"/>
  <c r="AQ369" i="1"/>
  <c r="AT369" i="1" s="1"/>
  <c r="AB296" i="1"/>
  <c r="AG296" i="1"/>
  <c r="AC297" i="1" l="1"/>
  <c r="AF297" i="1" s="1"/>
  <c r="AS369" i="1"/>
  <c r="AP369" i="1" l="1"/>
  <c r="AU369" i="1"/>
  <c r="AD297" i="1"/>
  <c r="AE297" i="1" s="1"/>
  <c r="AG297" i="1" l="1"/>
  <c r="AB297" i="1"/>
  <c r="AR370" i="1"/>
  <c r="AQ370" i="1"/>
  <c r="AT370" i="1" s="1"/>
  <c r="AS370" i="1" l="1"/>
  <c r="AU370" i="1" s="1"/>
  <c r="AP370" i="1"/>
  <c r="AC298" i="1"/>
  <c r="AF298" i="1" s="1"/>
  <c r="AD298" i="1" l="1"/>
  <c r="AE298" i="1" s="1"/>
  <c r="AB298" i="1" s="1"/>
  <c r="AC299" i="1"/>
  <c r="AD299" i="1" s="1"/>
  <c r="AE299" i="1" s="1"/>
  <c r="AB299" i="1" s="1"/>
  <c r="AG298" i="1"/>
  <c r="AQ371" i="1"/>
  <c r="AT371" i="1" s="1"/>
  <c r="AR371" i="1"/>
  <c r="AS371" i="1" s="1"/>
  <c r="AU371" i="1" s="1"/>
  <c r="AF299" i="1" l="1"/>
  <c r="AC300" i="1"/>
  <c r="AD300" i="1" s="1"/>
  <c r="AE300" i="1" s="1"/>
  <c r="AB300" i="1" s="1"/>
  <c r="AG299" i="1"/>
  <c r="AP371" i="1"/>
  <c r="AF300" i="1" l="1"/>
  <c r="AC301" i="1"/>
  <c r="AD301" i="1" s="1"/>
  <c r="AE301" i="1" s="1"/>
  <c r="AB301" i="1" s="1"/>
  <c r="AQ372" i="1"/>
  <c r="AT372" i="1" s="1"/>
  <c r="AR372" i="1"/>
  <c r="AS372" i="1" s="1"/>
  <c r="AU372" i="1" s="1"/>
  <c r="AG300" i="1"/>
  <c r="AF301" i="1" l="1"/>
  <c r="AC302" i="1"/>
  <c r="AD302" i="1"/>
  <c r="AE302" i="1" s="1"/>
  <c r="AB302" i="1" s="1"/>
  <c r="AG301" i="1"/>
  <c r="AF302" i="1"/>
  <c r="AP372" i="1"/>
  <c r="AG302" i="1" l="1"/>
  <c r="AC303" i="1"/>
  <c r="AD303" i="1" s="1"/>
  <c r="AE303" i="1" s="1"/>
  <c r="AF303" i="1"/>
  <c r="AR373" i="1"/>
  <c r="AQ373" i="1"/>
  <c r="AT373" i="1" s="1"/>
  <c r="AB303" i="1" l="1"/>
  <c r="AG303" i="1"/>
  <c r="AS373" i="1"/>
  <c r="AU373" i="1" l="1"/>
  <c r="AP373" i="1"/>
  <c r="AC304" i="1"/>
  <c r="AF304" i="1" s="1"/>
  <c r="AD304" i="1" l="1"/>
  <c r="AE304" i="1" s="1"/>
  <c r="AR374" i="1"/>
  <c r="AQ374" i="1"/>
  <c r="AT374" i="1" s="1"/>
  <c r="AS374" i="1" l="1"/>
  <c r="AG304" i="1"/>
  <c r="AB304" i="1"/>
  <c r="AC305" i="1" l="1"/>
  <c r="AF305" i="1" s="1"/>
  <c r="AP374" i="1"/>
  <c r="AU374" i="1"/>
  <c r="AQ375" i="1" l="1"/>
  <c r="AT375" i="1" s="1"/>
  <c r="AR375" i="1"/>
  <c r="AS375" i="1" s="1"/>
  <c r="AU375" i="1" s="1"/>
  <c r="AD305" i="1"/>
  <c r="AE305" i="1" s="1"/>
  <c r="AP375" i="1" l="1"/>
  <c r="AG305" i="1"/>
  <c r="AB305" i="1"/>
  <c r="AC306" i="1" l="1"/>
  <c r="AF306" i="1" s="1"/>
  <c r="AQ376" i="1"/>
  <c r="AT376" i="1" s="1"/>
  <c r="AR376" i="1"/>
  <c r="AS376" i="1" s="1"/>
  <c r="AU376" i="1" s="1"/>
  <c r="AD306" i="1" l="1"/>
  <c r="AE306" i="1" s="1"/>
  <c r="AB306" i="1" s="1"/>
  <c r="AC307" i="1"/>
  <c r="AD307" i="1" s="1"/>
  <c r="AE307" i="1" s="1"/>
  <c r="AB307" i="1" s="1"/>
  <c r="AG306" i="1"/>
  <c r="AP376" i="1"/>
  <c r="AF307" i="1" l="1"/>
  <c r="AC308" i="1"/>
  <c r="AD308" i="1" s="1"/>
  <c r="AE308" i="1" s="1"/>
  <c r="AB308" i="1" s="1"/>
  <c r="AG307" i="1"/>
  <c r="AR377" i="1"/>
  <c r="AQ377" i="1"/>
  <c r="AT377" i="1" s="1"/>
  <c r="AF308" i="1" l="1"/>
  <c r="AC309" i="1"/>
  <c r="AD309" i="1" s="1"/>
  <c r="AE309" i="1" s="1"/>
  <c r="AB309" i="1" s="1"/>
  <c r="AG308" i="1"/>
  <c r="AS377" i="1"/>
  <c r="AF309" i="1"/>
  <c r="AC310" i="1" l="1"/>
  <c r="AD310" i="1" s="1"/>
  <c r="AE310" i="1" s="1"/>
  <c r="AB310" i="1" s="1"/>
  <c r="AG309" i="1"/>
  <c r="AU377" i="1"/>
  <c r="AP377" i="1"/>
  <c r="AF310" i="1" l="1"/>
  <c r="AG310" i="1"/>
  <c r="AC311" i="1"/>
  <c r="AD311" i="1" s="1"/>
  <c r="AE311" i="1" s="1"/>
  <c r="AR378" i="1"/>
  <c r="AQ378" i="1"/>
  <c r="AT378" i="1" s="1"/>
  <c r="AB311" i="1" l="1"/>
  <c r="AG311" i="1"/>
  <c r="AS378" i="1"/>
  <c r="AF311" i="1"/>
  <c r="AU378" i="1" l="1"/>
  <c r="AP378" i="1"/>
  <c r="AC312" i="1"/>
  <c r="AF312" i="1" s="1"/>
  <c r="AD312" i="1" l="1"/>
  <c r="AE312" i="1" s="1"/>
  <c r="AG312" i="1" s="1"/>
  <c r="AQ379" i="1"/>
  <c r="AT379" i="1" s="1"/>
  <c r="AR379" i="1"/>
  <c r="AS379" i="1" s="1"/>
  <c r="AP379" i="1" s="1"/>
  <c r="AB312" i="1" l="1"/>
  <c r="AQ380" i="1"/>
  <c r="AR380" i="1"/>
  <c r="AS380" i="1" s="1"/>
  <c r="AP380" i="1" s="1"/>
  <c r="AU379" i="1"/>
  <c r="AU380" i="1" s="1"/>
  <c r="AT380" i="1"/>
  <c r="AC313" i="1"/>
  <c r="AF313" i="1" s="1"/>
  <c r="AR381" i="1" l="1"/>
  <c r="AQ381" i="1"/>
  <c r="AD313" i="1"/>
  <c r="AE313" i="1" s="1"/>
  <c r="AT381" i="1"/>
  <c r="AG313" i="1" l="1"/>
  <c r="AB313" i="1"/>
  <c r="AS381" i="1"/>
  <c r="AP381" i="1" l="1"/>
  <c r="AU381" i="1"/>
  <c r="AC314" i="1"/>
  <c r="AF314" i="1" s="1"/>
  <c r="AD314" i="1"/>
  <c r="AE314" i="1" s="1"/>
  <c r="AB314" i="1" s="1"/>
  <c r="AC315" i="1" l="1"/>
  <c r="AD315" i="1" s="1"/>
  <c r="AE315" i="1" s="1"/>
  <c r="AB315" i="1" s="1"/>
  <c r="AG314" i="1"/>
  <c r="AR382" i="1"/>
  <c r="AQ382" i="1"/>
  <c r="AT382" i="1" s="1"/>
  <c r="AS382" i="1" l="1"/>
  <c r="AU382" i="1" s="1"/>
  <c r="AC316" i="1"/>
  <c r="AD316" i="1" s="1"/>
  <c r="AE316" i="1" s="1"/>
  <c r="AB316" i="1" s="1"/>
  <c r="AP382" i="1"/>
  <c r="AF315" i="1"/>
  <c r="AG315" i="1"/>
  <c r="AF316" i="1" l="1"/>
  <c r="AC317" i="1"/>
  <c r="AD317" i="1" s="1"/>
  <c r="AE317" i="1" s="1"/>
  <c r="AB317" i="1" s="1"/>
  <c r="AF317" i="1"/>
  <c r="AG316" i="1"/>
  <c r="AQ383" i="1"/>
  <c r="AT383" i="1" s="1"/>
  <c r="AR383" i="1"/>
  <c r="AS383" i="1" s="1"/>
  <c r="AU383" i="1" s="1"/>
  <c r="AC318" i="1" l="1"/>
  <c r="AD318" i="1" s="1"/>
  <c r="AE318" i="1" s="1"/>
  <c r="AB318" i="1" s="1"/>
  <c r="AP383" i="1"/>
  <c r="AG317" i="1"/>
  <c r="AF318" i="1"/>
  <c r="AG318" i="1" l="1"/>
  <c r="AC319" i="1"/>
  <c r="AD319" i="1" s="1"/>
  <c r="AE319" i="1" s="1"/>
  <c r="AQ384" i="1"/>
  <c r="AT384" i="1" s="1"/>
  <c r="AR384" i="1"/>
  <c r="AF319" i="1"/>
  <c r="AS384" i="1" l="1"/>
  <c r="AU384" i="1" s="1"/>
  <c r="AB319" i="1"/>
  <c r="AG319" i="1"/>
  <c r="AP384" i="1"/>
  <c r="AR385" i="1" l="1"/>
  <c r="AQ385" i="1"/>
  <c r="AT385" i="1" s="1"/>
  <c r="AC320" i="1"/>
  <c r="AF320" i="1" s="1"/>
  <c r="AD320" i="1" l="1"/>
  <c r="AE320" i="1" s="1"/>
  <c r="AS385" i="1"/>
  <c r="AU385" i="1" l="1"/>
  <c r="AP385" i="1"/>
  <c r="AG320" i="1"/>
  <c r="AB320" i="1"/>
  <c r="AC321" i="1" l="1"/>
  <c r="AF321" i="1" s="1"/>
  <c r="AR386" i="1"/>
  <c r="AQ386" i="1"/>
  <c r="AT386" i="1" s="1"/>
  <c r="AS386" i="1" l="1"/>
  <c r="AP386" i="1" s="1"/>
  <c r="AQ387" i="1" s="1"/>
  <c r="AT387" i="1" s="1"/>
  <c r="AU386" i="1"/>
  <c r="AD321" i="1"/>
  <c r="AE321" i="1" s="1"/>
  <c r="AR387" i="1" l="1"/>
  <c r="AS387" i="1" s="1"/>
  <c r="AP387" i="1" s="1"/>
  <c r="AQ388" i="1" s="1"/>
  <c r="AT388" i="1" s="1"/>
  <c r="AG321" i="1"/>
  <c r="AB321" i="1"/>
  <c r="AR388" i="1"/>
  <c r="AS388" i="1" l="1"/>
  <c r="AU387" i="1"/>
  <c r="AU388" i="1" s="1"/>
  <c r="AP388" i="1"/>
  <c r="AC322" i="1"/>
  <c r="AF322" i="1" s="1"/>
  <c r="AD322" i="1" l="1"/>
  <c r="AE322" i="1" s="1"/>
  <c r="AB322" i="1" s="1"/>
  <c r="AC323" i="1"/>
  <c r="AD323" i="1" s="1"/>
  <c r="AE323" i="1" s="1"/>
  <c r="AB323" i="1" s="1"/>
  <c r="AG322" i="1"/>
  <c r="AR389" i="1"/>
  <c r="AQ389" i="1"/>
  <c r="AT389" i="1" s="1"/>
  <c r="AF323" i="1" l="1"/>
  <c r="AC324" i="1"/>
  <c r="AD324" i="1" s="1"/>
  <c r="AE324" i="1" s="1"/>
  <c r="AB324" i="1" s="1"/>
  <c r="AF324" i="1"/>
  <c r="AS389" i="1"/>
  <c r="AG323" i="1"/>
  <c r="AC325" i="1" l="1"/>
  <c r="AD325" i="1" s="1"/>
  <c r="AE325" i="1" s="1"/>
  <c r="AB325" i="1" s="1"/>
  <c r="AG324" i="1"/>
  <c r="AF325" i="1"/>
  <c r="AU389" i="1"/>
  <c r="AP389" i="1"/>
  <c r="AC326" i="1" l="1"/>
  <c r="AD326" i="1" s="1"/>
  <c r="AE326" i="1" s="1"/>
  <c r="AB326" i="1" s="1"/>
  <c r="AR390" i="1"/>
  <c r="AQ390" i="1"/>
  <c r="AT390" i="1" s="1"/>
  <c r="AF326" i="1"/>
  <c r="AG325" i="1"/>
  <c r="AC327" i="1" l="1"/>
  <c r="AD327" i="1" s="1"/>
  <c r="AE327" i="1" s="1"/>
  <c r="AB327" i="1" s="1"/>
  <c r="AS390" i="1"/>
  <c r="AG326" i="1"/>
  <c r="AF327" i="1" l="1"/>
  <c r="AC328" i="1"/>
  <c r="AD328" i="1" s="1"/>
  <c r="AE328" i="1" s="1"/>
  <c r="AB328" i="1" s="1"/>
  <c r="AU390" i="1"/>
  <c r="AP390" i="1"/>
  <c r="AG327" i="1"/>
  <c r="AF328" i="1"/>
  <c r="AC329" i="1" l="1"/>
  <c r="AD329" i="1" s="1"/>
  <c r="AE329" i="1" s="1"/>
  <c r="AB329" i="1" s="1"/>
  <c r="AG328" i="1"/>
  <c r="AQ391" i="1"/>
  <c r="AT391" i="1" s="1"/>
  <c r="AR391" i="1"/>
  <c r="AS391" i="1" s="1"/>
  <c r="AU391" i="1" s="1"/>
  <c r="AF329" i="1" l="1"/>
  <c r="AC330" i="1"/>
  <c r="AD330" i="1" s="1"/>
  <c r="AE330" i="1" s="1"/>
  <c r="AB330" i="1" s="1"/>
  <c r="AP391" i="1"/>
  <c r="AG329" i="1"/>
  <c r="AF330" i="1" l="1"/>
  <c r="AG330" i="1"/>
  <c r="AC331" i="1"/>
  <c r="AD331" i="1" s="1"/>
  <c r="AE331" i="1" s="1"/>
  <c r="AF331" i="1"/>
  <c r="AQ392" i="1"/>
  <c r="AT392" i="1" s="1"/>
  <c r="AR392" i="1"/>
  <c r="AB331" i="1" l="1"/>
  <c r="AG331" i="1"/>
  <c r="AS392" i="1"/>
  <c r="AU392" i="1" l="1"/>
  <c r="AP392" i="1"/>
  <c r="AC332" i="1"/>
  <c r="AF332" i="1" s="1"/>
  <c r="AD332" i="1" l="1"/>
  <c r="AE332" i="1" s="1"/>
  <c r="AR393" i="1"/>
  <c r="AQ393" i="1"/>
  <c r="AT393" i="1" s="1"/>
  <c r="AS393" i="1" l="1"/>
  <c r="AB332" i="1"/>
  <c r="AG332" i="1"/>
  <c r="AP393" i="1" l="1"/>
  <c r="AU393" i="1"/>
  <c r="AC333" i="1"/>
  <c r="AF333" i="1" s="1"/>
  <c r="AR394" i="1" l="1"/>
  <c r="AQ394" i="1"/>
  <c r="AT394" i="1" s="1"/>
  <c r="AD333" i="1"/>
  <c r="AE333" i="1" s="1"/>
  <c r="AS394" i="1" l="1"/>
  <c r="AG333" i="1"/>
  <c r="AB333" i="1"/>
  <c r="AU394" i="1" l="1"/>
  <c r="AP394" i="1"/>
  <c r="AC334" i="1"/>
  <c r="AF334" i="1" s="1"/>
  <c r="AD334" i="1"/>
  <c r="AE334" i="1" s="1"/>
  <c r="AG334" i="1" s="1"/>
  <c r="AQ395" i="1" l="1"/>
  <c r="AT395" i="1" s="1"/>
  <c r="AR395" i="1"/>
  <c r="AB334" i="1"/>
  <c r="AS395" i="1" l="1"/>
  <c r="AP395" i="1" s="1"/>
  <c r="AU395" i="1"/>
  <c r="AQ396" i="1"/>
  <c r="AT396" i="1" s="1"/>
  <c r="AR396" i="1"/>
  <c r="AS396" i="1" s="1"/>
  <c r="AU396" i="1" s="1"/>
  <c r="AC335" i="1"/>
  <c r="AF335" i="1" s="1"/>
  <c r="AP396" i="1" l="1"/>
  <c r="AQ397" i="1" s="1"/>
  <c r="AT397" i="1" s="1"/>
  <c r="AD335" i="1"/>
  <c r="AE335" i="1" s="1"/>
  <c r="AG335" i="1" s="1"/>
  <c r="AR397" i="1" l="1"/>
  <c r="AS397" i="1" s="1"/>
  <c r="AB335" i="1"/>
  <c r="AU397" i="1"/>
  <c r="AP397" i="1"/>
  <c r="AC336" i="1"/>
  <c r="AF336" i="1" s="1"/>
  <c r="AD336" i="1" l="1"/>
  <c r="AE336" i="1" s="1"/>
  <c r="AR398" i="1"/>
  <c r="AQ398" i="1"/>
  <c r="AT398" i="1" s="1"/>
  <c r="AS398" i="1" l="1"/>
  <c r="AG336" i="1"/>
  <c r="AB336" i="1"/>
  <c r="AC337" i="1" l="1"/>
  <c r="AF337" i="1" s="1"/>
  <c r="AD337" i="1"/>
  <c r="AE337" i="1" s="1"/>
  <c r="AB337" i="1" s="1"/>
  <c r="AU398" i="1"/>
  <c r="AP398" i="1"/>
  <c r="AC338" i="1" l="1"/>
  <c r="AD338" i="1"/>
  <c r="AE338" i="1" s="1"/>
  <c r="AB338" i="1" s="1"/>
  <c r="AR399" i="1"/>
  <c r="AQ399" i="1"/>
  <c r="AT399" i="1" s="1"/>
  <c r="AG337" i="1"/>
  <c r="AF338" i="1"/>
  <c r="AG338" i="1" l="1"/>
  <c r="AC339" i="1"/>
  <c r="AD339" i="1"/>
  <c r="AE339" i="1" s="1"/>
  <c r="AB339" i="1"/>
  <c r="AS399" i="1"/>
  <c r="AG339" i="1"/>
  <c r="AF339" i="1"/>
  <c r="AC340" i="1" l="1"/>
  <c r="AF340" i="1" s="1"/>
  <c r="AD340" i="1"/>
  <c r="AE340" i="1" s="1"/>
  <c r="AB340" i="1" s="1"/>
  <c r="AP399" i="1"/>
  <c r="AU399" i="1"/>
  <c r="AC341" i="1" l="1"/>
  <c r="AD341" i="1" s="1"/>
  <c r="AE341" i="1" s="1"/>
  <c r="AB341" i="1" s="1"/>
  <c r="AR400" i="1"/>
  <c r="AQ400" i="1"/>
  <c r="AT400" i="1" s="1"/>
  <c r="AG340" i="1"/>
  <c r="AC342" i="1" l="1"/>
  <c r="AD342" i="1"/>
  <c r="AE342" i="1" s="1"/>
  <c r="AB342" i="1" s="1"/>
  <c r="AS400" i="1"/>
  <c r="AF341" i="1"/>
  <c r="AF342" i="1" s="1"/>
  <c r="AG341" i="1"/>
  <c r="AG342" i="1" s="1"/>
  <c r="AU400" i="1" l="1"/>
  <c r="AP400" i="1"/>
  <c r="AC343" i="1"/>
  <c r="AF343" i="1" s="1"/>
  <c r="AD343" i="1" l="1"/>
  <c r="AE343" i="1" s="1"/>
  <c r="AR401" i="1"/>
  <c r="AQ401" i="1"/>
  <c r="AT401" i="1" s="1"/>
  <c r="AS401" i="1" l="1"/>
  <c r="AP401" i="1" s="1"/>
  <c r="AQ402" i="1" s="1"/>
  <c r="AT402" i="1" s="1"/>
  <c r="AG343" i="1"/>
  <c r="AB343" i="1"/>
  <c r="AU401" i="1" l="1"/>
  <c r="AR402" i="1"/>
  <c r="AS402" i="1"/>
  <c r="AP402" i="1" s="1"/>
  <c r="AQ403" i="1" s="1"/>
  <c r="AT403" i="1" s="1"/>
  <c r="AC344" i="1"/>
  <c r="AF344" i="1" s="1"/>
  <c r="AR403" i="1" l="1"/>
  <c r="AU402" i="1"/>
  <c r="AD344" i="1"/>
  <c r="AE344" i="1" s="1"/>
  <c r="AS403" i="1"/>
  <c r="AP403" i="1" l="1"/>
  <c r="AU403" i="1"/>
  <c r="AB344" i="1"/>
  <c r="AG344" i="1"/>
  <c r="AC345" i="1" l="1"/>
  <c r="AF345" i="1" s="1"/>
  <c r="AD345" i="1"/>
  <c r="AE345" i="1" s="1"/>
  <c r="AG345" i="1" s="1"/>
  <c r="AR404" i="1"/>
  <c r="AQ404" i="1"/>
  <c r="AT404" i="1" s="1"/>
  <c r="AB345" i="1" l="1"/>
  <c r="AC346" i="1"/>
  <c r="AD346" i="1" s="1"/>
  <c r="AE346" i="1" s="1"/>
  <c r="AG346" i="1" s="1"/>
  <c r="AS404" i="1"/>
  <c r="AF346" i="1"/>
  <c r="AU404" i="1" l="1"/>
  <c r="AP404" i="1"/>
  <c r="AB346" i="1"/>
  <c r="AC347" i="1" l="1"/>
  <c r="AF347" i="1" s="1"/>
  <c r="AD347" i="1"/>
  <c r="AE347" i="1" s="1"/>
  <c r="AG347" i="1" s="1"/>
  <c r="AR405" i="1"/>
  <c r="AQ405" i="1"/>
  <c r="AT405" i="1" s="1"/>
  <c r="AS405" i="1" l="1"/>
  <c r="AB347" i="1"/>
  <c r="AC348" i="1" l="1"/>
  <c r="AF348" i="1" s="1"/>
  <c r="AU405" i="1"/>
  <c r="AP405" i="1"/>
  <c r="AQ406" i="1" l="1"/>
  <c r="AT406" i="1" s="1"/>
  <c r="AR406" i="1"/>
  <c r="AS406" i="1" s="1"/>
  <c r="AP406" i="1" s="1"/>
  <c r="AD348" i="1"/>
  <c r="AE348" i="1" s="1"/>
  <c r="AU406" i="1" l="1"/>
  <c r="AR407" i="1"/>
  <c r="AQ407" i="1"/>
  <c r="AG348" i="1"/>
  <c r="AB348" i="1"/>
  <c r="AT407" i="1"/>
  <c r="AC349" i="1" l="1"/>
  <c r="AF349" i="1" s="1"/>
  <c r="AD349" i="1"/>
  <c r="AE349" i="1" s="1"/>
  <c r="AG349" i="1" s="1"/>
  <c r="AS407" i="1"/>
  <c r="AP407" i="1" l="1"/>
  <c r="AU407" i="1"/>
  <c r="AB349" i="1"/>
  <c r="AC350" i="1" l="1"/>
  <c r="AF350" i="1" s="1"/>
  <c r="AD350" i="1"/>
  <c r="AE350" i="1" s="1"/>
  <c r="AG350" i="1" s="1"/>
  <c r="AR408" i="1"/>
  <c r="AQ408" i="1"/>
  <c r="AT408" i="1" s="1"/>
  <c r="AS408" i="1" l="1"/>
  <c r="AB350" i="1"/>
  <c r="AC351" i="1" l="1"/>
  <c r="AF351" i="1" s="1"/>
  <c r="AU408" i="1"/>
  <c r="AP408" i="1"/>
  <c r="AR409" i="1" l="1"/>
  <c r="AQ409" i="1"/>
  <c r="AT409" i="1" s="1"/>
  <c r="AD351" i="1"/>
  <c r="AE351" i="1" s="1"/>
  <c r="AG351" i="1" l="1"/>
  <c r="AB351" i="1"/>
  <c r="AS409" i="1"/>
  <c r="AU409" i="1" l="1"/>
  <c r="AP409" i="1"/>
  <c r="AC352" i="1"/>
  <c r="AF352" i="1" s="1"/>
  <c r="AD352" i="1" l="1"/>
  <c r="AE352" i="1" s="1"/>
  <c r="AQ410" i="1"/>
  <c r="AT410" i="1" s="1"/>
  <c r="AR410" i="1"/>
  <c r="AS410" i="1" l="1"/>
  <c r="AP410" i="1" s="1"/>
  <c r="AR411" i="1"/>
  <c r="AQ411" i="1"/>
  <c r="AU410" i="1"/>
  <c r="AT411" i="1"/>
  <c r="AB352" i="1"/>
  <c r="AG352" i="1"/>
  <c r="AC353" i="1" l="1"/>
  <c r="AF353" i="1" s="1"/>
  <c r="AS411" i="1"/>
  <c r="AP411" i="1" s="1"/>
  <c r="AD353" i="1" l="1"/>
  <c r="AE353" i="1" s="1"/>
  <c r="AB353" i="1" s="1"/>
  <c r="AC354" i="1" s="1"/>
  <c r="AD354" i="1" s="1"/>
  <c r="AE354" i="1" s="1"/>
  <c r="AB354" i="1" s="1"/>
  <c r="AR412" i="1"/>
  <c r="AQ412" i="1"/>
  <c r="AT412" i="1" s="1"/>
  <c r="AU411" i="1"/>
  <c r="AG353" i="1" l="1"/>
  <c r="AG354" i="1" s="1"/>
  <c r="AS412" i="1"/>
  <c r="AP412" i="1" s="1"/>
  <c r="AR413" i="1"/>
  <c r="AQ413" i="1"/>
  <c r="AT413" i="1" s="1"/>
  <c r="AC355" i="1"/>
  <c r="AD355" i="1" s="1"/>
  <c r="AE355" i="1" s="1"/>
  <c r="AB355" i="1" s="1"/>
  <c r="AU412" i="1"/>
  <c r="AF354" i="1"/>
  <c r="AC356" i="1" l="1"/>
  <c r="AD356" i="1" s="1"/>
  <c r="AE356" i="1" s="1"/>
  <c r="AB356" i="1" s="1"/>
  <c r="AG355" i="1"/>
  <c r="AF355" i="1"/>
  <c r="AS413" i="1"/>
  <c r="AP413" i="1" s="1"/>
  <c r="AF356" i="1" l="1"/>
  <c r="AC357" i="1"/>
  <c r="AD357" i="1"/>
  <c r="AE357" i="1" s="1"/>
  <c r="AB357" i="1" s="1"/>
  <c r="AQ414" i="1"/>
  <c r="AT414" i="1" s="1"/>
  <c r="AR414" i="1"/>
  <c r="AU413" i="1"/>
  <c r="AG356" i="1"/>
  <c r="AF357" i="1" l="1"/>
  <c r="AS414" i="1"/>
  <c r="AP414" i="1" s="1"/>
  <c r="AR415" i="1" s="1"/>
  <c r="AC358" i="1"/>
  <c r="AD358" i="1" s="1"/>
  <c r="AE358" i="1" s="1"/>
  <c r="AB358" i="1" s="1"/>
  <c r="AF358" i="1"/>
  <c r="AG357" i="1"/>
  <c r="AQ415" i="1" l="1"/>
  <c r="AT415" i="1" s="1"/>
  <c r="AU414" i="1"/>
  <c r="AC359" i="1"/>
  <c r="AD359" i="1" s="1"/>
  <c r="AE359" i="1" s="1"/>
  <c r="AB359" i="1" s="1"/>
  <c r="AF359" i="1"/>
  <c r="AG358" i="1"/>
  <c r="AS415" i="1"/>
  <c r="AG359" i="1" l="1"/>
  <c r="AC360" i="1"/>
  <c r="AD360" i="1" s="1"/>
  <c r="AE360" i="1" s="1"/>
  <c r="AF360" i="1"/>
  <c r="AP415" i="1"/>
  <c r="AU415" i="1"/>
  <c r="AB360" i="1" l="1"/>
  <c r="AG360" i="1"/>
  <c r="AR416" i="1"/>
  <c r="AQ416" i="1"/>
  <c r="AT416" i="1" s="1"/>
  <c r="AS416" i="1" l="1"/>
  <c r="AC361" i="1"/>
  <c r="AF361" i="1" s="1"/>
  <c r="AD361" i="1"/>
  <c r="AE361" i="1" s="1"/>
  <c r="AG361" i="1" s="1"/>
  <c r="AB361" i="1" l="1"/>
  <c r="AC362" i="1"/>
  <c r="AD362" i="1"/>
  <c r="AE362" i="1" s="1"/>
  <c r="AG362" i="1" s="1"/>
  <c r="AF362" i="1"/>
  <c r="AU416" i="1"/>
  <c r="AP416" i="1"/>
  <c r="AR417" i="1" l="1"/>
  <c r="AQ417" i="1"/>
  <c r="AT417" i="1" s="1"/>
  <c r="AB362" i="1"/>
  <c r="AC363" i="1" l="1"/>
  <c r="AF363" i="1" s="1"/>
  <c r="AS417" i="1"/>
  <c r="AD363" i="1" l="1"/>
  <c r="AE363" i="1" s="1"/>
  <c r="AG363" i="1" s="1"/>
  <c r="AP417" i="1"/>
  <c r="AU417" i="1"/>
  <c r="AB363" i="1"/>
  <c r="AC364" i="1" l="1"/>
  <c r="AF364" i="1" s="1"/>
  <c r="AQ418" i="1"/>
  <c r="AT418" i="1" s="1"/>
  <c r="AR418" i="1"/>
  <c r="AS418" i="1" s="1"/>
  <c r="AU418" i="1" s="1"/>
  <c r="AP418" i="1" l="1"/>
  <c r="AD364" i="1"/>
  <c r="AE364" i="1" s="1"/>
  <c r="AG364" i="1" l="1"/>
  <c r="AB364" i="1"/>
  <c r="AR419" i="1"/>
  <c r="AQ419" i="1"/>
  <c r="AT419" i="1" s="1"/>
  <c r="AS419" i="1" l="1"/>
  <c r="AC365" i="1"/>
  <c r="AF365" i="1" s="1"/>
  <c r="AD365" i="1"/>
  <c r="AE365" i="1" s="1"/>
  <c r="AB365" i="1" s="1"/>
  <c r="AC366" i="1" l="1"/>
  <c r="AD366" i="1"/>
  <c r="AE366" i="1" s="1"/>
  <c r="AB366" i="1" s="1"/>
  <c r="AG365" i="1"/>
  <c r="AF366" i="1"/>
  <c r="AU419" i="1"/>
  <c r="AP419" i="1"/>
  <c r="AG366" i="1" l="1"/>
  <c r="AC367" i="1"/>
  <c r="AF367" i="1" s="1"/>
  <c r="AR420" i="1"/>
  <c r="AQ420" i="1"/>
  <c r="AT420" i="1" s="1"/>
  <c r="AS420" i="1" l="1"/>
  <c r="AP420" i="1" s="1"/>
  <c r="AQ421" i="1" s="1"/>
  <c r="AT421" i="1" s="1"/>
  <c r="AD367" i="1"/>
  <c r="AE367" i="1" s="1"/>
  <c r="AR421" i="1" l="1"/>
  <c r="AU420" i="1"/>
  <c r="AB367" i="1"/>
  <c r="AG367" i="1"/>
  <c r="AS421" i="1"/>
  <c r="AP421" i="1" s="1"/>
  <c r="AQ422" i="1" l="1"/>
  <c r="AT422" i="1" s="1"/>
  <c r="AR422" i="1"/>
  <c r="AS422" i="1" s="1"/>
  <c r="AP422" i="1" s="1"/>
  <c r="AU421" i="1"/>
  <c r="AU422" i="1" s="1"/>
  <c r="AC368" i="1"/>
  <c r="AF368" i="1" s="1"/>
  <c r="AR423" i="1" l="1"/>
  <c r="AQ423" i="1"/>
  <c r="AD368" i="1"/>
  <c r="AE368" i="1" s="1"/>
  <c r="AT423" i="1"/>
  <c r="AG368" i="1" l="1"/>
  <c r="AB368" i="1"/>
  <c r="AS423" i="1"/>
  <c r="AP423" i="1" l="1"/>
  <c r="AU423" i="1"/>
  <c r="AC369" i="1"/>
  <c r="AF369" i="1" s="1"/>
  <c r="AD369" i="1"/>
  <c r="AE369" i="1" s="1"/>
  <c r="AB369" i="1" s="1"/>
  <c r="AD370" i="1" l="1"/>
  <c r="AC370" i="1"/>
  <c r="AG369" i="1"/>
  <c r="AF370" i="1"/>
  <c r="AR424" i="1"/>
  <c r="AQ424" i="1"/>
  <c r="AT424" i="1" s="1"/>
  <c r="AS424" i="1" l="1"/>
  <c r="AU424" i="1" s="1"/>
  <c r="AE370" i="1"/>
  <c r="AB370" i="1" s="1"/>
  <c r="AP424" i="1" l="1"/>
  <c r="AR425" i="1" s="1"/>
  <c r="AD371" i="1"/>
  <c r="AC371" i="1"/>
  <c r="AF371" i="1" s="1"/>
  <c r="AG370" i="1"/>
  <c r="AQ425" i="1" l="1"/>
  <c r="AT425" i="1" s="1"/>
  <c r="AE371" i="1"/>
  <c r="AB371" i="1" s="1"/>
  <c r="AS425" i="1" l="1"/>
  <c r="AD372" i="1"/>
  <c r="AC372" i="1"/>
  <c r="AF372" i="1" s="1"/>
  <c r="AU425" i="1"/>
  <c r="AP425" i="1"/>
  <c r="AG371" i="1"/>
  <c r="AQ426" i="1" l="1"/>
  <c r="AT426" i="1" s="1"/>
  <c r="AR426" i="1"/>
  <c r="AS426" i="1" s="1"/>
  <c r="AU426" i="1" s="1"/>
  <c r="AE372" i="1"/>
  <c r="AB372" i="1" s="1"/>
  <c r="AD373" i="1" l="1"/>
  <c r="AC373" i="1"/>
  <c r="AF373" i="1" s="1"/>
  <c r="AP426" i="1"/>
  <c r="AG372" i="1"/>
  <c r="AR427" i="1" l="1"/>
  <c r="AQ427" i="1"/>
  <c r="AT427" i="1" s="1"/>
  <c r="AE373" i="1"/>
  <c r="AB373" i="1" s="1"/>
  <c r="AD374" i="1" l="1"/>
  <c r="AC374" i="1"/>
  <c r="AF374" i="1" s="1"/>
  <c r="AS427" i="1"/>
  <c r="AG373" i="1"/>
  <c r="AU427" i="1" l="1"/>
  <c r="AP427" i="1"/>
  <c r="AE374" i="1"/>
  <c r="AB374" i="1" s="1"/>
  <c r="AD375" i="1" l="1"/>
  <c r="AC375" i="1"/>
  <c r="AF375" i="1" s="1"/>
  <c r="AG374" i="1"/>
  <c r="AR428" i="1"/>
  <c r="AQ428" i="1"/>
  <c r="AT428" i="1" s="1"/>
  <c r="AS428" i="1" l="1"/>
  <c r="AE375" i="1"/>
  <c r="AB375" i="1" s="1"/>
  <c r="AD376" i="1" l="1"/>
  <c r="AC376" i="1"/>
  <c r="AF376" i="1" s="1"/>
  <c r="AP428" i="1"/>
  <c r="AU428" i="1"/>
  <c r="AG375" i="1"/>
  <c r="AR429" i="1" l="1"/>
  <c r="AQ429" i="1"/>
  <c r="AT429" i="1" s="1"/>
  <c r="AE376" i="1"/>
  <c r="AB376" i="1" s="1"/>
  <c r="AD377" i="1" l="1"/>
  <c r="AC377" i="1"/>
  <c r="AF377" i="1" s="1"/>
  <c r="AS429" i="1"/>
  <c r="AG376" i="1"/>
  <c r="AU429" i="1" l="1"/>
  <c r="AP429" i="1"/>
  <c r="AE377" i="1"/>
  <c r="AB377" i="1" s="1"/>
  <c r="AD378" i="1" l="1"/>
  <c r="AC378" i="1"/>
  <c r="AF378" i="1" s="1"/>
  <c r="AQ430" i="1"/>
  <c r="AT430" i="1" s="1"/>
  <c r="AR430" i="1"/>
  <c r="AS430" i="1" s="1"/>
  <c r="AP430" i="1" s="1"/>
  <c r="AG377" i="1"/>
  <c r="AU430" i="1" l="1"/>
  <c r="AR431" i="1"/>
  <c r="AQ431" i="1"/>
  <c r="AT431" i="1"/>
  <c r="AE378" i="1"/>
  <c r="AB378" i="1" s="1"/>
  <c r="AG378" i="1" l="1"/>
  <c r="AD379" i="1"/>
  <c r="AC379" i="1"/>
  <c r="AF379" i="1" s="1"/>
  <c r="AS431" i="1"/>
  <c r="AP431" i="1" l="1"/>
  <c r="AU431" i="1"/>
  <c r="AE379" i="1"/>
  <c r="AB379" i="1" s="1"/>
  <c r="AG379" i="1"/>
  <c r="AD380" i="1" l="1"/>
  <c r="AC380" i="1"/>
  <c r="AF380" i="1" s="1"/>
  <c r="AR432" i="1"/>
  <c r="AQ432" i="1"/>
  <c r="AT432" i="1" s="1"/>
  <c r="AS432" i="1" l="1"/>
  <c r="AE380" i="1"/>
  <c r="AG380" i="1" l="1"/>
  <c r="AB380" i="1"/>
  <c r="AU432" i="1"/>
  <c r="AP432" i="1"/>
  <c r="AR433" i="1" l="1"/>
  <c r="AQ433" i="1"/>
  <c r="AT433" i="1" s="1"/>
  <c r="AD381" i="1"/>
  <c r="AC381" i="1"/>
  <c r="AF381" i="1" s="1"/>
  <c r="AE381" i="1" l="1"/>
  <c r="AS433" i="1"/>
  <c r="AU433" i="1" l="1"/>
  <c r="AP433" i="1"/>
  <c r="AB381" i="1"/>
  <c r="AG381" i="1"/>
  <c r="AD382" i="1" l="1"/>
  <c r="AC382" i="1"/>
  <c r="AF382" i="1" s="1"/>
  <c r="AQ434" i="1"/>
  <c r="AT434" i="1" s="1"/>
  <c r="AR434" i="1"/>
  <c r="AS434" i="1" s="1"/>
  <c r="AP434" i="1" s="1"/>
  <c r="AR435" i="1" l="1"/>
  <c r="AQ435" i="1"/>
  <c r="AU434" i="1"/>
  <c r="AT435" i="1"/>
  <c r="AE382" i="1"/>
  <c r="AG382" i="1" l="1"/>
  <c r="AB382" i="1"/>
  <c r="AS435" i="1"/>
  <c r="AP435" i="1" s="1"/>
  <c r="AR436" i="1" l="1"/>
  <c r="AQ436" i="1"/>
  <c r="AT436" i="1" s="1"/>
  <c r="AU435" i="1"/>
  <c r="AD383" i="1"/>
  <c r="AC383" i="1"/>
  <c r="AF383" i="1" s="1"/>
  <c r="AE383" i="1" l="1"/>
  <c r="AS436" i="1"/>
  <c r="AP436" i="1" s="1"/>
  <c r="AU436" i="1" l="1"/>
  <c r="AR437" i="1"/>
  <c r="AQ437" i="1"/>
  <c r="AT437" i="1" s="1"/>
  <c r="AG383" i="1"/>
  <c r="AB383" i="1"/>
  <c r="AD384" i="1" l="1"/>
  <c r="AC384" i="1"/>
  <c r="AF384" i="1" s="1"/>
  <c r="AS437" i="1"/>
  <c r="AP437" i="1" s="1"/>
  <c r="AU437" i="1" l="1"/>
  <c r="AQ438" i="1"/>
  <c r="AT438" i="1" s="1"/>
  <c r="AR438" i="1"/>
  <c r="AS438" i="1" s="1"/>
  <c r="AP438" i="1" s="1"/>
  <c r="AE384" i="1"/>
  <c r="AR439" i="1" l="1"/>
  <c r="AQ439" i="1"/>
  <c r="AB384" i="1"/>
  <c r="AG384" i="1"/>
  <c r="AT439" i="1"/>
  <c r="AU438" i="1"/>
  <c r="AD385" i="1" l="1"/>
  <c r="AC385" i="1"/>
  <c r="AF385" i="1" s="1"/>
  <c r="AS439" i="1"/>
  <c r="AP439" i="1" s="1"/>
  <c r="AR440" i="1" l="1"/>
  <c r="AQ440" i="1"/>
  <c r="AT440" i="1" s="1"/>
  <c r="AE385" i="1"/>
  <c r="AU439" i="1"/>
  <c r="AG385" i="1" l="1"/>
  <c r="AB385" i="1"/>
  <c r="AS440" i="1"/>
  <c r="AP440" i="1" s="1"/>
  <c r="AR441" i="1" l="1"/>
  <c r="AQ441" i="1"/>
  <c r="AT441" i="1" s="1"/>
  <c r="AC386" i="1"/>
  <c r="AF386" i="1" s="1"/>
  <c r="AD386" i="1"/>
  <c r="AE386" i="1" s="1"/>
  <c r="AB386" i="1" s="1"/>
  <c r="AU440" i="1"/>
  <c r="AG386" i="1" l="1"/>
  <c r="AC387" i="1"/>
  <c r="AD387" i="1"/>
  <c r="AE387" i="1" s="1"/>
  <c r="AB387" i="1" s="1"/>
  <c r="AF387" i="1"/>
  <c r="AS441" i="1"/>
  <c r="AP441" i="1" s="1"/>
  <c r="AG387" i="1" l="1"/>
  <c r="AD388" i="1"/>
  <c r="AC388" i="1"/>
  <c r="AF388" i="1" s="1"/>
  <c r="AQ442" i="1"/>
  <c r="AT442" i="1" s="1"/>
  <c r="AR442" i="1"/>
  <c r="AS442" i="1" s="1"/>
  <c r="AP442" i="1" s="1"/>
  <c r="AU441" i="1"/>
  <c r="AR443" i="1" l="1"/>
  <c r="AQ443" i="1"/>
  <c r="AU442" i="1"/>
  <c r="AT443" i="1"/>
  <c r="AE388" i="1"/>
  <c r="AB388" i="1" l="1"/>
  <c r="AG388" i="1"/>
  <c r="AS443" i="1"/>
  <c r="AP443" i="1" s="1"/>
  <c r="AU443" i="1" l="1"/>
  <c r="AR444" i="1"/>
  <c r="AQ444" i="1"/>
  <c r="AT444" i="1" s="1"/>
  <c r="AD389" i="1"/>
  <c r="AC389" i="1"/>
  <c r="AF389" i="1" s="1"/>
  <c r="AE389" i="1" l="1"/>
  <c r="AS444" i="1"/>
  <c r="AP444" i="1" s="1"/>
  <c r="AU444" i="1"/>
  <c r="AR445" i="1" l="1"/>
  <c r="AQ445" i="1"/>
  <c r="AT445" i="1" s="1"/>
  <c r="AG389" i="1"/>
  <c r="AB389" i="1"/>
  <c r="AD390" i="1" l="1"/>
  <c r="AC390" i="1"/>
  <c r="AF390" i="1" s="1"/>
  <c r="AS445" i="1"/>
  <c r="AU445" i="1" l="1"/>
  <c r="AP445" i="1"/>
  <c r="AE390" i="1"/>
  <c r="AB390" i="1" l="1"/>
  <c r="AG390" i="1"/>
  <c r="AQ446" i="1"/>
  <c r="AT446" i="1" s="1"/>
  <c r="AR446" i="1"/>
  <c r="AS446" i="1" s="1"/>
  <c r="AU446" i="1" s="1"/>
  <c r="AP446" i="1" l="1"/>
  <c r="AD391" i="1"/>
  <c r="AC391" i="1"/>
  <c r="AF391" i="1" s="1"/>
  <c r="AE391" i="1" l="1"/>
  <c r="AR447" i="1"/>
  <c r="AQ447" i="1"/>
  <c r="AT447" i="1" s="1"/>
  <c r="AS447" i="1" l="1"/>
  <c r="AG391" i="1"/>
  <c r="AB391" i="1"/>
  <c r="AD392" i="1" l="1"/>
  <c r="AC392" i="1"/>
  <c r="AF392" i="1" s="1"/>
  <c r="AU447" i="1"/>
  <c r="AP447" i="1"/>
  <c r="AR448" i="1" l="1"/>
  <c r="AQ448" i="1"/>
  <c r="AT448" i="1" s="1"/>
  <c r="AE392" i="1"/>
  <c r="AB392" i="1" l="1"/>
  <c r="AG392" i="1"/>
  <c r="AS448" i="1"/>
  <c r="AP448" i="1" l="1"/>
  <c r="AU448" i="1"/>
  <c r="AD393" i="1"/>
  <c r="AC393" i="1"/>
  <c r="AF393" i="1" s="1"/>
  <c r="AE393" i="1" l="1"/>
  <c r="AR449" i="1"/>
  <c r="AQ449" i="1"/>
  <c r="AT449" i="1" s="1"/>
  <c r="AS449" i="1" l="1"/>
  <c r="AB393" i="1"/>
  <c r="AG393" i="1"/>
  <c r="AD394" i="1" l="1"/>
  <c r="AC394" i="1"/>
  <c r="AF394" i="1" s="1"/>
  <c r="AU449" i="1"/>
  <c r="AP449" i="1"/>
  <c r="AQ450" i="1" l="1"/>
  <c r="AT450" i="1" s="1"/>
  <c r="AR450" i="1"/>
  <c r="AS450" i="1" s="1"/>
  <c r="AP450" i="1" s="1"/>
  <c r="AE394" i="1"/>
  <c r="AR451" i="1" l="1"/>
  <c r="AQ451" i="1"/>
  <c r="AU450" i="1"/>
  <c r="AG394" i="1"/>
  <c r="AB394" i="1"/>
  <c r="AT451" i="1"/>
  <c r="AD395" i="1" l="1"/>
  <c r="AC395" i="1"/>
  <c r="AF395" i="1" s="1"/>
  <c r="AS451" i="1"/>
  <c r="AP451" i="1" s="1"/>
  <c r="AR452" i="1" l="1"/>
  <c r="AQ452" i="1"/>
  <c r="AT452" i="1" s="1"/>
  <c r="AU451" i="1"/>
  <c r="AE395" i="1"/>
  <c r="AB395" i="1" l="1"/>
  <c r="AG395" i="1"/>
  <c r="AS452" i="1"/>
  <c r="AP452" i="1" s="1"/>
  <c r="AR453" i="1" l="1"/>
  <c r="AQ453" i="1"/>
  <c r="AT453" i="1" s="1"/>
  <c r="AU452" i="1"/>
  <c r="AD396" i="1"/>
  <c r="AC396" i="1"/>
  <c r="AF396" i="1" s="1"/>
  <c r="AE396" i="1" l="1"/>
  <c r="AS453" i="1"/>
  <c r="AP453" i="1" s="1"/>
  <c r="AQ454" i="1" l="1"/>
  <c r="AT454" i="1" s="1"/>
  <c r="AR454" i="1"/>
  <c r="AS454" i="1" s="1"/>
  <c r="AP454" i="1" s="1"/>
  <c r="AU453" i="1"/>
  <c r="AG396" i="1"/>
  <c r="AB396" i="1"/>
  <c r="AU454" i="1" l="1"/>
  <c r="AR455" i="1"/>
  <c r="AQ455" i="1"/>
  <c r="AT455" i="1" s="1"/>
  <c r="AD397" i="1"/>
  <c r="AC397" i="1"/>
  <c r="AF397" i="1" s="1"/>
  <c r="AE397" i="1" l="1"/>
  <c r="AB397" i="1" s="1"/>
  <c r="AD398" i="1"/>
  <c r="AC398" i="1"/>
  <c r="AF398" i="1" s="1"/>
  <c r="AG397" i="1"/>
  <c r="AS455" i="1"/>
  <c r="AP455" i="1" l="1"/>
  <c r="AU455" i="1"/>
  <c r="AE398" i="1"/>
  <c r="AB398" i="1" s="1"/>
  <c r="AC399" i="1" l="1"/>
  <c r="AF399" i="1" s="1"/>
  <c r="AD399" i="1"/>
  <c r="AE399" i="1" s="1"/>
  <c r="AB399" i="1"/>
  <c r="AG398" i="1"/>
  <c r="AG399" i="1" s="1"/>
  <c r="AR456" i="1"/>
  <c r="AQ456" i="1"/>
  <c r="AT456" i="1" s="1"/>
  <c r="AC400" i="1" l="1"/>
  <c r="AD400" i="1"/>
  <c r="AE400" i="1" s="1"/>
  <c r="AB400" i="1" s="1"/>
  <c r="AS456" i="1"/>
  <c r="AG400" i="1"/>
  <c r="AF400" i="1"/>
  <c r="AC401" i="1" l="1"/>
  <c r="AF401" i="1" s="1"/>
  <c r="AD401" i="1"/>
  <c r="AE401" i="1" s="1"/>
  <c r="AB401" i="1" s="1"/>
  <c r="AU456" i="1"/>
  <c r="AP456" i="1"/>
  <c r="AG401" i="1" l="1"/>
  <c r="AD402" i="1"/>
  <c r="AC402" i="1"/>
  <c r="AF402" i="1"/>
  <c r="AR457" i="1"/>
  <c r="AQ457" i="1"/>
  <c r="AT457" i="1" s="1"/>
  <c r="AS457" i="1" l="1"/>
  <c r="AE402" i="1"/>
  <c r="AB402" i="1" l="1"/>
  <c r="AG402" i="1"/>
  <c r="AU457" i="1"/>
  <c r="AP457" i="1"/>
  <c r="AQ458" i="1" l="1"/>
  <c r="AT458" i="1" s="1"/>
  <c r="AR458" i="1"/>
  <c r="AS458" i="1" s="1"/>
  <c r="AP458" i="1" s="1"/>
  <c r="AD403" i="1"/>
  <c r="AC403" i="1"/>
  <c r="AF403" i="1" s="1"/>
  <c r="AR459" i="1" l="1"/>
  <c r="AQ459" i="1"/>
  <c r="AE403" i="1"/>
  <c r="AU458" i="1"/>
  <c r="AT459" i="1"/>
  <c r="AG403" i="1" l="1"/>
  <c r="AB403" i="1"/>
  <c r="AS459" i="1"/>
  <c r="AP459" i="1" s="1"/>
  <c r="AR460" i="1" l="1"/>
  <c r="AQ460" i="1"/>
  <c r="AT460" i="1" s="1"/>
  <c r="AC404" i="1"/>
  <c r="AF404" i="1" s="1"/>
  <c r="AD404" i="1"/>
  <c r="AU459" i="1"/>
  <c r="AE404" i="1" l="1"/>
  <c r="AS460" i="1"/>
  <c r="AP460" i="1" s="1"/>
  <c r="AG404" i="1" l="1"/>
  <c r="AB404" i="1"/>
  <c r="AR461" i="1"/>
  <c r="AQ461" i="1"/>
  <c r="AT461" i="1" s="1"/>
  <c r="AU460" i="1"/>
  <c r="AC405" i="1" l="1"/>
  <c r="AF405" i="1" s="1"/>
  <c r="AD405" i="1"/>
  <c r="AE405" i="1" s="1"/>
  <c r="AG405" i="1" s="1"/>
  <c r="AS461" i="1"/>
  <c r="AP461" i="1" s="1"/>
  <c r="AU461" i="1" l="1"/>
  <c r="AB405" i="1"/>
  <c r="AQ462" i="1"/>
  <c r="AT462" i="1" s="1"/>
  <c r="AR462" i="1"/>
  <c r="AS462" i="1" l="1"/>
  <c r="AU462" i="1" s="1"/>
  <c r="AC406" i="1"/>
  <c r="AF406" i="1" s="1"/>
  <c r="AD406" i="1"/>
  <c r="AP462" i="1" l="1"/>
  <c r="AE406" i="1"/>
  <c r="AG406" i="1" s="1"/>
  <c r="AB406" i="1"/>
  <c r="AR463" i="1"/>
  <c r="AQ463" i="1"/>
  <c r="AT463" i="1" s="1"/>
  <c r="AD407" i="1" l="1"/>
  <c r="AC407" i="1"/>
  <c r="AF407" i="1" s="1"/>
  <c r="AS463" i="1"/>
  <c r="AU463" i="1" s="1"/>
  <c r="AP463" i="1" l="1"/>
  <c r="AE407" i="1"/>
  <c r="AR464" i="1"/>
  <c r="AQ464" i="1"/>
  <c r="AT464" i="1" s="1"/>
  <c r="AB407" i="1" l="1"/>
  <c r="AG407" i="1"/>
  <c r="AS464" i="1"/>
  <c r="AD408" i="1" l="1"/>
  <c r="AC408" i="1"/>
  <c r="AF408" i="1" s="1"/>
  <c r="AU464" i="1"/>
  <c r="AP464" i="1"/>
  <c r="AE408" i="1" l="1"/>
  <c r="AR465" i="1"/>
  <c r="AQ465" i="1"/>
  <c r="AT465" i="1" s="1"/>
  <c r="AB408" i="1" l="1"/>
  <c r="AG408" i="1"/>
  <c r="AS465" i="1"/>
  <c r="AC409" i="1" l="1"/>
  <c r="AF409" i="1" s="1"/>
  <c r="AD409" i="1"/>
  <c r="AE409" i="1" s="1"/>
  <c r="AP465" i="1"/>
  <c r="AU465" i="1"/>
  <c r="AG409" i="1"/>
  <c r="AB409" i="1"/>
  <c r="AQ466" i="1" l="1"/>
  <c r="AT466" i="1" s="1"/>
  <c r="AR466" i="1"/>
  <c r="AD410" i="1"/>
  <c r="AC410" i="1"/>
  <c r="AF410" i="1" s="1"/>
  <c r="AS466" i="1" l="1"/>
  <c r="AP466" i="1" s="1"/>
  <c r="AR467" i="1"/>
  <c r="AQ467" i="1"/>
  <c r="AT467" i="1" s="1"/>
  <c r="AU466" i="1"/>
  <c r="AE410" i="1"/>
  <c r="AS467" i="1" l="1"/>
  <c r="AG410" i="1"/>
  <c r="AB410" i="1"/>
  <c r="AP467" i="1" l="1"/>
  <c r="AU467" i="1"/>
  <c r="AD411" i="1"/>
  <c r="AC411" i="1"/>
  <c r="AF411" i="1" s="1"/>
  <c r="AR468" i="1" l="1"/>
  <c r="AQ468" i="1"/>
  <c r="AT468" i="1" s="1"/>
  <c r="AE411" i="1"/>
  <c r="AS468" i="1" l="1"/>
  <c r="AB411" i="1"/>
  <c r="AG411" i="1"/>
  <c r="AP468" i="1" l="1"/>
  <c r="AU468" i="1"/>
  <c r="AC412" i="1"/>
  <c r="AF412" i="1" s="1"/>
  <c r="AD412" i="1"/>
  <c r="AE412" i="1" s="1"/>
  <c r="AG412" i="1" s="1"/>
  <c r="AR469" i="1" l="1"/>
  <c r="AQ469" i="1"/>
  <c r="AT469" i="1" s="1"/>
  <c r="AB412" i="1"/>
  <c r="AS469" i="1" l="1"/>
  <c r="AC413" i="1"/>
  <c r="AF413" i="1" s="1"/>
  <c r="AD413" i="1"/>
  <c r="AE413" i="1" s="1"/>
  <c r="AG413" i="1" s="1"/>
  <c r="AP469" i="1" l="1"/>
  <c r="AU469" i="1"/>
  <c r="AB413" i="1"/>
  <c r="AR470" i="1" l="1"/>
  <c r="AQ470" i="1"/>
  <c r="AT470" i="1" s="1"/>
  <c r="AD414" i="1"/>
  <c r="AC414" i="1"/>
  <c r="AF414" i="1" s="1"/>
  <c r="AS470" i="1" l="1"/>
  <c r="AE414" i="1"/>
  <c r="AU470" i="1" l="1"/>
  <c r="AP470" i="1"/>
  <c r="AG414" i="1"/>
  <c r="AB414" i="1"/>
  <c r="AQ471" i="1" l="1"/>
  <c r="AT471" i="1" s="1"/>
  <c r="AR471" i="1"/>
  <c r="AS471" i="1" s="1"/>
  <c r="AD415" i="1"/>
  <c r="AC415" i="1"/>
  <c r="AF415" i="1" s="1"/>
  <c r="AP471" i="1" l="1"/>
  <c r="AU471" i="1"/>
  <c r="AE415" i="1"/>
  <c r="AR472" i="1" l="1"/>
  <c r="AQ472" i="1"/>
  <c r="AT472" i="1" s="1"/>
  <c r="AB415" i="1"/>
  <c r="AG415" i="1"/>
  <c r="AS472" i="1" l="1"/>
  <c r="AC416" i="1"/>
  <c r="AF416" i="1" s="1"/>
  <c r="AD416" i="1"/>
  <c r="AE416" i="1" s="1"/>
  <c r="AG416" i="1" s="1"/>
  <c r="AB416" i="1" l="1"/>
  <c r="AP472" i="1"/>
  <c r="AU472" i="1"/>
  <c r="AC417" i="1"/>
  <c r="AD417" i="1"/>
  <c r="AF417" i="1"/>
  <c r="AE417" i="1" l="1"/>
  <c r="AR473" i="1"/>
  <c r="AQ473" i="1"/>
  <c r="AT473" i="1" s="1"/>
  <c r="AG417" i="1" l="1"/>
  <c r="AB417" i="1"/>
  <c r="AS473" i="1"/>
  <c r="AD418" i="1" l="1"/>
  <c r="AC418" i="1"/>
  <c r="AF418" i="1" s="1"/>
  <c r="AU473" i="1"/>
  <c r="AP473" i="1"/>
  <c r="AE418" i="1" l="1"/>
  <c r="AR474" i="1"/>
  <c r="AQ474" i="1"/>
  <c r="AT474" i="1" s="1"/>
  <c r="AG418" i="1" l="1"/>
  <c r="AB418" i="1"/>
  <c r="AS474" i="1"/>
  <c r="AC419" i="1" l="1"/>
  <c r="AF419" i="1" s="1"/>
  <c r="AD419" i="1"/>
  <c r="AE419" i="1" s="1"/>
  <c r="AG419" i="1" s="1"/>
  <c r="AB419" i="1"/>
  <c r="AP474" i="1"/>
  <c r="AU474" i="1"/>
  <c r="AD420" i="1" l="1"/>
  <c r="AC420" i="1"/>
  <c r="AF420" i="1" s="1"/>
  <c r="AR475" i="1"/>
  <c r="AQ475" i="1"/>
  <c r="AT475" i="1" s="1"/>
  <c r="AE420" i="1" l="1"/>
  <c r="AS475" i="1"/>
  <c r="AB420" i="1" l="1"/>
  <c r="AG420" i="1"/>
  <c r="AP475" i="1"/>
  <c r="AU475" i="1"/>
  <c r="AC421" i="1" l="1"/>
  <c r="AF421" i="1" s="1"/>
  <c r="AD421" i="1"/>
  <c r="AE421" i="1" s="1"/>
  <c r="AR476" i="1"/>
  <c r="AQ476" i="1"/>
  <c r="AT476" i="1" s="1"/>
  <c r="AB421" i="1" l="1"/>
  <c r="AG421" i="1"/>
  <c r="AS476" i="1"/>
  <c r="AD422" i="1" l="1"/>
  <c r="AC422" i="1"/>
  <c r="AF422" i="1" s="1"/>
  <c r="AP476" i="1"/>
  <c r="AU476" i="1"/>
  <c r="AE422" i="1" l="1"/>
  <c r="AQ477" i="1"/>
  <c r="AT477" i="1" s="1"/>
  <c r="AR477" i="1"/>
  <c r="AS477" i="1" s="1"/>
  <c r="AP477" i="1" s="1"/>
  <c r="AB422" i="1" l="1"/>
  <c r="AG422" i="1"/>
  <c r="AR478" i="1"/>
  <c r="AQ478" i="1"/>
  <c r="AT478" i="1" s="1"/>
  <c r="AU477" i="1"/>
  <c r="AC423" i="1" l="1"/>
  <c r="AF423" i="1" s="1"/>
  <c r="AD423" i="1"/>
  <c r="AE423" i="1" s="1"/>
  <c r="AB423" i="1" s="1"/>
  <c r="AS478" i="1"/>
  <c r="AP478" i="1" s="1"/>
  <c r="AR479" i="1" s="1"/>
  <c r="AQ479" i="1" l="1"/>
  <c r="AT479" i="1" s="1"/>
  <c r="AD424" i="1"/>
  <c r="AC424" i="1"/>
  <c r="AF424" i="1" s="1"/>
  <c r="AG423" i="1"/>
  <c r="AU478" i="1"/>
  <c r="AS479" i="1" l="1"/>
  <c r="AE424" i="1"/>
  <c r="AB424" i="1" s="1"/>
  <c r="AP479" i="1"/>
  <c r="AU479" i="1"/>
  <c r="AC425" i="1" l="1"/>
  <c r="AF425" i="1" s="1"/>
  <c r="AD425" i="1"/>
  <c r="AE425" i="1" s="1"/>
  <c r="AB425" i="1" s="1"/>
  <c r="AG424" i="1"/>
  <c r="AG425" i="1" s="1"/>
  <c r="AQ480" i="1"/>
  <c r="AT480" i="1" s="1"/>
  <c r="AR480" i="1"/>
  <c r="AS480" i="1" l="1"/>
  <c r="AU480" i="1" s="1"/>
  <c r="AP480" i="1"/>
  <c r="AR481" i="1" s="1"/>
  <c r="AC426" i="1"/>
  <c r="AF426" i="1" s="1"/>
  <c r="AD426" i="1"/>
  <c r="AE426" i="1" s="1"/>
  <c r="AG426" i="1" s="1"/>
  <c r="AQ481" i="1" l="1"/>
  <c r="AT481" i="1" s="1"/>
  <c r="AB426" i="1"/>
  <c r="AS481" i="1" l="1"/>
  <c r="AD427" i="1"/>
  <c r="AC427" i="1"/>
  <c r="AF427" i="1" s="1"/>
  <c r="AU481" i="1"/>
  <c r="AP481" i="1"/>
  <c r="AE427" i="1" l="1"/>
  <c r="AR482" i="1"/>
  <c r="AQ482" i="1"/>
  <c r="AT482" i="1" s="1"/>
  <c r="AG427" i="1" l="1"/>
  <c r="AB427" i="1"/>
  <c r="AS482" i="1"/>
  <c r="AD428" i="1" l="1"/>
  <c r="AC428" i="1"/>
  <c r="AF428" i="1" s="1"/>
  <c r="AP482" i="1"/>
  <c r="AU482" i="1"/>
  <c r="AE428" i="1" l="1"/>
  <c r="AR483" i="1"/>
  <c r="AQ483" i="1"/>
  <c r="AT483" i="1" s="1"/>
  <c r="AG428" i="1" l="1"/>
  <c r="AB428" i="1"/>
  <c r="AS483" i="1"/>
  <c r="AC429" i="1" l="1"/>
  <c r="AF429" i="1" s="1"/>
  <c r="AD429" i="1"/>
  <c r="AE429" i="1" s="1"/>
  <c r="AG429" i="1" s="1"/>
  <c r="AU483" i="1"/>
  <c r="AP483" i="1"/>
  <c r="AB429" i="1" l="1"/>
  <c r="AD430" i="1"/>
  <c r="AC430" i="1"/>
  <c r="AF430" i="1" s="1"/>
  <c r="AR484" i="1"/>
  <c r="AQ484" i="1"/>
  <c r="AT484" i="1" s="1"/>
  <c r="AE430" i="1" l="1"/>
  <c r="AS484" i="1"/>
  <c r="AG430" i="1" l="1"/>
  <c r="AB430" i="1"/>
  <c r="AU484" i="1"/>
  <c r="AP484" i="1"/>
  <c r="AC431" i="1" l="1"/>
  <c r="AF431" i="1" s="1"/>
  <c r="AD431" i="1"/>
  <c r="AR485" i="1"/>
  <c r="AQ485" i="1"/>
  <c r="AT485" i="1" s="1"/>
  <c r="AE431" i="1" l="1"/>
  <c r="AS485" i="1"/>
  <c r="AB431" i="1" l="1"/>
  <c r="AG431" i="1"/>
  <c r="AU485" i="1"/>
  <c r="AP485" i="1"/>
  <c r="AD432" i="1" l="1"/>
  <c r="AC432" i="1"/>
  <c r="AF432" i="1" s="1"/>
  <c r="AR486" i="1"/>
  <c r="AQ486" i="1"/>
  <c r="AT486" i="1" s="1"/>
  <c r="AE432" i="1" l="1"/>
  <c r="AS486" i="1"/>
  <c r="AG432" i="1" l="1"/>
  <c r="AB432" i="1"/>
  <c r="AP486" i="1"/>
  <c r="AU486" i="1"/>
  <c r="AC433" i="1" l="1"/>
  <c r="AF433" i="1" s="1"/>
  <c r="AD433" i="1"/>
  <c r="AE433" i="1" s="1"/>
  <c r="AG433" i="1" s="1"/>
  <c r="AB433" i="1"/>
  <c r="AR487" i="1"/>
  <c r="AQ487" i="1"/>
  <c r="AT487" i="1" s="1"/>
  <c r="AC434" i="1" l="1"/>
  <c r="AF434" i="1" s="1"/>
  <c r="AD434" i="1"/>
  <c r="AE434" i="1" s="1"/>
  <c r="AB434" i="1"/>
  <c r="AG434" i="1"/>
  <c r="AS487" i="1"/>
  <c r="AD435" i="1" l="1"/>
  <c r="AC435" i="1"/>
  <c r="AF435" i="1" s="1"/>
  <c r="AP487" i="1"/>
  <c r="AU487" i="1"/>
  <c r="AE435" i="1" l="1"/>
  <c r="AR488" i="1"/>
  <c r="AQ488" i="1"/>
  <c r="AT488" i="1" s="1"/>
  <c r="AB435" i="1" l="1"/>
  <c r="AG435" i="1"/>
  <c r="AS488" i="1"/>
  <c r="AC436" i="1" l="1"/>
  <c r="AF436" i="1" s="1"/>
  <c r="AD436" i="1"/>
  <c r="AE436" i="1" s="1"/>
  <c r="AP488" i="1"/>
  <c r="AU488" i="1"/>
  <c r="AG436" i="1" l="1"/>
  <c r="AB436" i="1"/>
  <c r="AR489" i="1"/>
  <c r="AQ489" i="1"/>
  <c r="AT489" i="1" s="1"/>
  <c r="AC437" i="1" l="1"/>
  <c r="AF437" i="1" s="1"/>
  <c r="AD437" i="1"/>
  <c r="AE437" i="1" s="1"/>
  <c r="AG437" i="1"/>
  <c r="AB437" i="1"/>
  <c r="AS489" i="1"/>
  <c r="AD438" i="1" l="1"/>
  <c r="AC438" i="1"/>
  <c r="AF438" i="1" s="1"/>
  <c r="AP489" i="1"/>
  <c r="AU489" i="1"/>
  <c r="AE438" i="1" l="1"/>
  <c r="AQ490" i="1"/>
  <c r="AT490" i="1" s="1"/>
  <c r="AR490" i="1"/>
  <c r="AS490" i="1" s="1"/>
  <c r="AP490" i="1" s="1"/>
  <c r="AB438" i="1" l="1"/>
  <c r="AG438" i="1"/>
  <c r="AR491" i="1"/>
  <c r="AQ491" i="1"/>
  <c r="AT491" i="1" s="1"/>
  <c r="AU490" i="1"/>
  <c r="AD439" i="1" l="1"/>
  <c r="AC439" i="1"/>
  <c r="AF439" i="1" s="1"/>
  <c r="AS491" i="1"/>
  <c r="AP491" i="1" s="1"/>
  <c r="AE439" i="1" l="1"/>
  <c r="AR492" i="1"/>
  <c r="AQ492" i="1"/>
  <c r="AT492" i="1" s="1"/>
  <c r="AU491" i="1"/>
  <c r="AB439" i="1" l="1"/>
  <c r="AG439" i="1"/>
  <c r="AS492" i="1"/>
  <c r="AD440" i="1" l="1"/>
  <c r="AC440" i="1"/>
  <c r="AF440" i="1" s="1"/>
  <c r="AU492" i="1"/>
  <c r="AP492" i="1"/>
  <c r="AE440" i="1" l="1"/>
  <c r="AR493" i="1"/>
  <c r="AQ493" i="1"/>
  <c r="AT493" i="1" s="1"/>
  <c r="AB440" i="1" l="1"/>
  <c r="AG440" i="1"/>
  <c r="AS493" i="1"/>
  <c r="AC441" i="1" l="1"/>
  <c r="AF441" i="1" s="1"/>
  <c r="AD441" i="1"/>
  <c r="AE441" i="1" s="1"/>
  <c r="AG441" i="1" s="1"/>
  <c r="AB441" i="1"/>
  <c r="AP493" i="1"/>
  <c r="AU493" i="1"/>
  <c r="AC442" i="1" l="1"/>
  <c r="AF442" i="1" s="1"/>
  <c r="AD442" i="1"/>
  <c r="AR494" i="1"/>
  <c r="AQ494" i="1"/>
  <c r="AT494" i="1" s="1"/>
  <c r="AE442" i="1" l="1"/>
  <c r="AG442" i="1"/>
  <c r="AB442" i="1"/>
  <c r="AS494" i="1"/>
  <c r="AD443" i="1" l="1"/>
  <c r="AC443" i="1"/>
  <c r="AF443" i="1" s="1"/>
  <c r="AU494" i="1"/>
  <c r="AP494" i="1"/>
  <c r="AE443" i="1" l="1"/>
  <c r="AR495" i="1"/>
  <c r="AQ495" i="1"/>
  <c r="AT495" i="1" s="1"/>
  <c r="AG443" i="1" l="1"/>
  <c r="AB443" i="1"/>
  <c r="AS495" i="1"/>
  <c r="AC444" i="1" l="1"/>
  <c r="AF444" i="1" s="1"/>
  <c r="AD444" i="1"/>
  <c r="AE444" i="1" s="1"/>
  <c r="AP495" i="1"/>
  <c r="AU495" i="1"/>
  <c r="AG444" i="1"/>
  <c r="AB444" i="1"/>
  <c r="AR496" i="1" l="1"/>
  <c r="AQ496" i="1"/>
  <c r="AT496" i="1" s="1"/>
  <c r="AC445" i="1"/>
  <c r="AF445" i="1" s="1"/>
  <c r="AD445" i="1"/>
  <c r="AS496" i="1" l="1"/>
  <c r="AE445" i="1"/>
  <c r="AU496" i="1" l="1"/>
  <c r="AP496" i="1"/>
  <c r="AB445" i="1"/>
  <c r="AG445" i="1"/>
  <c r="AR497" i="1" l="1"/>
  <c r="AQ497" i="1"/>
  <c r="AT497" i="1" s="1"/>
  <c r="AD446" i="1"/>
  <c r="AC446" i="1"/>
  <c r="AF446" i="1" s="1"/>
  <c r="AS497" i="1" l="1"/>
  <c r="AE446" i="1"/>
  <c r="AP497" i="1" l="1"/>
  <c r="AU497" i="1"/>
  <c r="AG446" i="1"/>
  <c r="AB446" i="1"/>
  <c r="AQ498" i="1" l="1"/>
  <c r="AT498" i="1" s="1"/>
  <c r="AR498" i="1"/>
  <c r="AD447" i="1"/>
  <c r="AC447" i="1"/>
  <c r="AF447" i="1" s="1"/>
  <c r="AS498" i="1" l="1"/>
  <c r="AP498" i="1" s="1"/>
  <c r="AQ499" i="1" s="1"/>
  <c r="AT499" i="1" s="1"/>
  <c r="AR499" i="1"/>
  <c r="AE447" i="1"/>
  <c r="AU498" i="1" l="1"/>
  <c r="AS499" i="1"/>
  <c r="AP499" i="1" s="1"/>
  <c r="AB447" i="1"/>
  <c r="AG447" i="1"/>
  <c r="AR500" i="1" l="1"/>
  <c r="AQ500" i="1"/>
  <c r="AT500" i="1" s="1"/>
  <c r="AU499" i="1"/>
  <c r="AD448" i="1"/>
  <c r="AC448" i="1"/>
  <c r="AF448" i="1" s="1"/>
  <c r="AS500" i="1" l="1"/>
  <c r="AE448" i="1"/>
  <c r="AU500" i="1" l="1"/>
  <c r="AP500" i="1"/>
  <c r="AB448" i="1"/>
  <c r="AG448" i="1"/>
  <c r="AR501" i="1" l="1"/>
  <c r="AQ501" i="1"/>
  <c r="AT501" i="1" s="1"/>
  <c r="AC449" i="1"/>
  <c r="AF449" i="1" s="1"/>
  <c r="AD449" i="1"/>
  <c r="AE449" i="1" l="1"/>
  <c r="AG449" i="1" s="1"/>
  <c r="AS501" i="1"/>
  <c r="AB449" i="1"/>
  <c r="AU501" i="1" l="1"/>
  <c r="AP501" i="1"/>
  <c r="AD450" i="1"/>
  <c r="AC450" i="1"/>
  <c r="AF450" i="1" s="1"/>
  <c r="AR502" i="1" l="1"/>
  <c r="AQ502" i="1"/>
  <c r="AT502" i="1" s="1"/>
  <c r="AE450" i="1"/>
  <c r="AS502" i="1" l="1"/>
  <c r="AG450" i="1"/>
  <c r="AB450" i="1"/>
  <c r="AP502" i="1" l="1"/>
  <c r="AU502" i="1"/>
  <c r="AD451" i="1"/>
  <c r="AC451" i="1"/>
  <c r="AF451" i="1" s="1"/>
  <c r="AQ503" i="1" l="1"/>
  <c r="AT503" i="1" s="1"/>
  <c r="AR503" i="1"/>
  <c r="AE451" i="1"/>
  <c r="AS503" i="1" l="1"/>
  <c r="AG451" i="1"/>
  <c r="AB451" i="1"/>
  <c r="AU503" i="1" l="1"/>
  <c r="AP503" i="1"/>
  <c r="AD452" i="1"/>
  <c r="AC452" i="1"/>
  <c r="AF452" i="1" s="1"/>
  <c r="AR504" i="1" l="1"/>
  <c r="AQ504" i="1"/>
  <c r="AT504" i="1" s="1"/>
  <c r="AE452" i="1"/>
  <c r="AG452" i="1" s="1"/>
  <c r="AB452" i="1"/>
  <c r="AS504" i="1" l="1"/>
  <c r="AC453" i="1"/>
  <c r="AF453" i="1" s="1"/>
  <c r="AD453" i="1"/>
  <c r="AP504" i="1" l="1"/>
  <c r="AU504" i="1"/>
  <c r="AE453" i="1"/>
  <c r="AQ505" i="1" l="1"/>
  <c r="AT505" i="1" s="1"/>
  <c r="AR505" i="1"/>
  <c r="AS505" i="1" s="1"/>
  <c r="AG453" i="1"/>
  <c r="AB453" i="1"/>
  <c r="AU505" i="1" l="1"/>
  <c r="AP505" i="1"/>
  <c r="AC454" i="1"/>
  <c r="AF454" i="1" s="1"/>
  <c r="AD454" i="1"/>
  <c r="AE454" i="1" s="1"/>
  <c r="AB454" i="1" s="1"/>
  <c r="AQ506" i="1" l="1"/>
  <c r="AT506" i="1" s="1"/>
  <c r="AR506" i="1"/>
  <c r="AS506" i="1" s="1"/>
  <c r="AG454" i="1"/>
  <c r="AD455" i="1"/>
  <c r="AC455" i="1"/>
  <c r="AF455" i="1" s="1"/>
  <c r="AP506" i="1" l="1"/>
  <c r="AU506" i="1"/>
  <c r="AE455" i="1"/>
  <c r="AR507" i="1" l="1"/>
  <c r="AQ507" i="1"/>
  <c r="AT507" i="1" s="1"/>
  <c r="AB455" i="1"/>
  <c r="AG455" i="1"/>
  <c r="AS507" i="1" l="1"/>
  <c r="AD456" i="1"/>
  <c r="AC456" i="1"/>
  <c r="AF456" i="1" s="1"/>
  <c r="AP507" i="1" l="1"/>
  <c r="AU507" i="1"/>
  <c r="AE456" i="1"/>
  <c r="AR508" i="1" l="1"/>
  <c r="AQ508" i="1"/>
  <c r="AT508" i="1" s="1"/>
  <c r="AG456" i="1"/>
  <c r="AB456" i="1"/>
  <c r="AS508" i="1" l="1"/>
  <c r="AC457" i="1"/>
  <c r="AF457" i="1" s="1"/>
  <c r="AD457" i="1"/>
  <c r="AE457" i="1" s="1"/>
  <c r="AB457" i="1" s="1"/>
  <c r="AP508" i="1" l="1"/>
  <c r="AU508" i="1"/>
  <c r="AG457" i="1"/>
  <c r="AD458" i="1"/>
  <c r="AC458" i="1"/>
  <c r="AF458" i="1" s="1"/>
  <c r="AR509" i="1" l="1"/>
  <c r="AQ509" i="1"/>
  <c r="AT509" i="1" s="1"/>
  <c r="AE458" i="1"/>
  <c r="AS509" i="1" l="1"/>
  <c r="AB458" i="1"/>
  <c r="AG458" i="1"/>
  <c r="AP509" i="1" l="1"/>
  <c r="AU509" i="1"/>
  <c r="AD459" i="1"/>
  <c r="AC459" i="1"/>
  <c r="AF459" i="1" s="1"/>
  <c r="AR510" i="1" l="1"/>
  <c r="AQ510" i="1"/>
  <c r="AT510" i="1" s="1"/>
  <c r="AE459" i="1"/>
  <c r="AS510" i="1" l="1"/>
  <c r="AB459" i="1"/>
  <c r="AG459" i="1"/>
  <c r="AP510" i="1" l="1"/>
  <c r="AU510" i="1"/>
  <c r="AD460" i="1"/>
  <c r="AC460" i="1"/>
  <c r="AF460" i="1" s="1"/>
  <c r="AQ511" i="1" l="1"/>
  <c r="AT511" i="1" s="1"/>
  <c r="AR511" i="1"/>
  <c r="AS511" i="1" s="1"/>
  <c r="AE460" i="1"/>
  <c r="AP511" i="1" l="1"/>
  <c r="AU511" i="1"/>
  <c r="AG460" i="1"/>
  <c r="AB460" i="1"/>
  <c r="AR512" i="1" l="1"/>
  <c r="AQ512" i="1"/>
  <c r="AT512" i="1" s="1"/>
  <c r="AC461" i="1"/>
  <c r="AF461" i="1" s="1"/>
  <c r="AD461" i="1"/>
  <c r="AE461" i="1" s="1"/>
  <c r="AB461" i="1" s="1"/>
  <c r="AS512" i="1" l="1"/>
  <c r="AG461" i="1"/>
  <c r="AC462" i="1"/>
  <c r="AF462" i="1" s="1"/>
  <c r="AD462" i="1"/>
  <c r="AE462" i="1" s="1"/>
  <c r="AB462" i="1" s="1"/>
  <c r="AP512" i="1" l="1"/>
  <c r="AU512" i="1"/>
  <c r="AG462" i="1"/>
  <c r="AD463" i="1"/>
  <c r="AC463" i="1"/>
  <c r="AF463" i="1"/>
  <c r="AR513" i="1" l="1"/>
  <c r="AQ513" i="1"/>
  <c r="AT513" i="1" s="1"/>
  <c r="AE463" i="1"/>
  <c r="AS513" i="1" l="1"/>
  <c r="AB463" i="1"/>
  <c r="AG463" i="1"/>
  <c r="AP513" i="1" l="1"/>
  <c r="AU513" i="1"/>
  <c r="AD464" i="1"/>
  <c r="AC464" i="1"/>
  <c r="AF464" i="1" s="1"/>
  <c r="AQ514" i="1" l="1"/>
  <c r="AT514" i="1" s="1"/>
  <c r="AR514" i="1"/>
  <c r="AS514" i="1" s="1"/>
  <c r="AU514" i="1" s="1"/>
  <c r="AP514" i="1"/>
  <c r="AE464" i="1"/>
  <c r="AR515" i="1" l="1"/>
  <c r="AQ515" i="1"/>
  <c r="AT515" i="1" s="1"/>
  <c r="AG464" i="1"/>
  <c r="AB464" i="1"/>
  <c r="AS515" i="1" l="1"/>
  <c r="AC465" i="1"/>
  <c r="AF465" i="1" s="1"/>
  <c r="AD465" i="1"/>
  <c r="AE465" i="1" s="1"/>
  <c r="AB465" i="1" s="1"/>
  <c r="AU515" i="1" l="1"/>
  <c r="AP515" i="1"/>
  <c r="AD466" i="1"/>
  <c r="AC466" i="1"/>
  <c r="AF466" i="1" s="1"/>
  <c r="AG465" i="1"/>
  <c r="AQ516" i="1" l="1"/>
  <c r="AT516" i="1" s="1"/>
  <c r="AR516" i="1"/>
  <c r="AS516" i="1" s="1"/>
  <c r="AU516" i="1" s="1"/>
  <c r="AP516" i="1"/>
  <c r="AE466" i="1"/>
  <c r="AB466" i="1" s="1"/>
  <c r="AR517" i="1" l="1"/>
  <c r="AQ517" i="1"/>
  <c r="AT517" i="1" s="1"/>
  <c r="AG466" i="1"/>
  <c r="AD467" i="1"/>
  <c r="AC467" i="1"/>
  <c r="AF467" i="1" s="1"/>
  <c r="AS517" i="1" l="1"/>
  <c r="AE467" i="1"/>
  <c r="AP517" i="1" l="1"/>
  <c r="AU517" i="1"/>
  <c r="AG467" i="1"/>
  <c r="AB467" i="1"/>
  <c r="AQ518" i="1" l="1"/>
  <c r="AT518" i="1" s="1"/>
  <c r="AR518" i="1"/>
  <c r="AS518" i="1" s="1"/>
  <c r="AP518" i="1" s="1"/>
  <c r="AD468" i="1"/>
  <c r="AC468" i="1"/>
  <c r="AF468" i="1" s="1"/>
  <c r="AR519" i="1" l="1"/>
  <c r="AQ519" i="1"/>
  <c r="AT519" i="1" s="1"/>
  <c r="AU518" i="1"/>
  <c r="AE468" i="1"/>
  <c r="AS519" i="1" l="1"/>
  <c r="AP519" i="1" s="1"/>
  <c r="AB468" i="1"/>
  <c r="AG468" i="1"/>
  <c r="AR520" i="1" l="1"/>
  <c r="AQ520" i="1"/>
  <c r="AT520" i="1" s="1"/>
  <c r="AU519" i="1"/>
  <c r="AD469" i="1"/>
  <c r="AC469" i="1"/>
  <c r="AF469" i="1" s="1"/>
  <c r="AS520" i="1" l="1"/>
  <c r="AP520" i="1" s="1"/>
  <c r="AE469" i="1"/>
  <c r="AR521" i="1" l="1"/>
  <c r="AQ521" i="1"/>
  <c r="AT521" i="1" s="1"/>
  <c r="AU520" i="1"/>
  <c r="AG469" i="1"/>
  <c r="AB469" i="1"/>
  <c r="AS521" i="1" l="1"/>
  <c r="AP521" i="1" s="1"/>
  <c r="AD470" i="1"/>
  <c r="AC470" i="1"/>
  <c r="AF470" i="1" s="1"/>
  <c r="AQ522" i="1" l="1"/>
  <c r="AT522" i="1" s="1"/>
  <c r="AR522" i="1"/>
  <c r="AS522" i="1" s="1"/>
  <c r="AP522" i="1" s="1"/>
  <c r="AU521" i="1"/>
  <c r="AU522" i="1" s="1"/>
  <c r="AE470" i="1"/>
  <c r="AR523" i="1" l="1"/>
  <c r="AQ523" i="1"/>
  <c r="AT523" i="1"/>
  <c r="AG470" i="1"/>
  <c r="AB470" i="1"/>
  <c r="AS523" i="1" l="1"/>
  <c r="AD471" i="1"/>
  <c r="AC471" i="1"/>
  <c r="AF471" i="1" s="1"/>
  <c r="AP523" i="1" l="1"/>
  <c r="AU523" i="1"/>
  <c r="AE471" i="1"/>
  <c r="AQ524" i="1" l="1"/>
  <c r="AT524" i="1" s="1"/>
  <c r="AR524" i="1"/>
  <c r="AS524" i="1" s="1"/>
  <c r="AP524" i="1" s="1"/>
  <c r="AB471" i="1"/>
  <c r="AG471" i="1"/>
  <c r="AR525" i="1" l="1"/>
  <c r="AQ525" i="1"/>
  <c r="AT525" i="1" s="1"/>
  <c r="AU524" i="1"/>
  <c r="AD472" i="1"/>
  <c r="AC472" i="1"/>
  <c r="AF472" i="1" s="1"/>
  <c r="AS525" i="1" l="1"/>
  <c r="AP525" i="1" s="1"/>
  <c r="AE472" i="1"/>
  <c r="AG472" i="1" s="1"/>
  <c r="AR526" i="1" l="1"/>
  <c r="AQ526" i="1"/>
  <c r="AT526" i="1" s="1"/>
  <c r="AU525" i="1"/>
  <c r="AB472" i="1"/>
  <c r="AC473" i="1"/>
  <c r="AF473" i="1" s="1"/>
  <c r="AD473" i="1"/>
  <c r="AE473" i="1" s="1"/>
  <c r="AG473" i="1" s="1"/>
  <c r="AS526" i="1" l="1"/>
  <c r="AP526" i="1" s="1"/>
  <c r="AB473" i="1"/>
  <c r="AR527" i="1" l="1"/>
  <c r="AQ527" i="1"/>
  <c r="AT527" i="1" s="1"/>
  <c r="AU526" i="1"/>
  <c r="AC474" i="1"/>
  <c r="AF474" i="1" s="1"/>
  <c r="AD474" i="1"/>
  <c r="AE474" i="1" s="1"/>
  <c r="AG474" i="1" s="1"/>
  <c r="AS527" i="1" l="1"/>
  <c r="AP527" i="1" s="1"/>
  <c r="AB474" i="1"/>
  <c r="AD475" i="1"/>
  <c r="AC475" i="1"/>
  <c r="AF475" i="1"/>
  <c r="AQ528" i="1" l="1"/>
  <c r="AT528" i="1" s="1"/>
  <c r="AR528" i="1"/>
  <c r="AS528" i="1" s="1"/>
  <c r="AP528" i="1" s="1"/>
  <c r="AU527" i="1"/>
  <c r="AU528" i="1" s="1"/>
  <c r="AE475" i="1"/>
  <c r="AQ529" i="1" l="1"/>
  <c r="AT529" i="1" s="1"/>
  <c r="AR529" i="1"/>
  <c r="AS529" i="1" s="1"/>
  <c r="AU529" i="1" s="1"/>
  <c r="AP529" i="1"/>
  <c r="AB475" i="1"/>
  <c r="AG475" i="1"/>
  <c r="AQ530" i="1" l="1"/>
  <c r="AT530" i="1" s="1"/>
  <c r="AR530" i="1"/>
  <c r="AS530" i="1" s="1"/>
  <c r="AU530" i="1" s="1"/>
  <c r="AP530" i="1"/>
  <c r="AR531" i="1" s="1"/>
  <c r="AC476" i="1"/>
  <c r="AF476" i="1" s="1"/>
  <c r="AD476" i="1"/>
  <c r="AE476" i="1" s="1"/>
  <c r="AG476" i="1" s="1"/>
  <c r="AQ531" i="1" l="1"/>
  <c r="AT531" i="1" s="1"/>
  <c r="AB476" i="1"/>
  <c r="AD477" i="1"/>
  <c r="AC477" i="1"/>
  <c r="AF477" i="1" s="1"/>
  <c r="AS531" i="1"/>
  <c r="AP531" i="1" l="1"/>
  <c r="AU531" i="1"/>
  <c r="AE477" i="1"/>
  <c r="AG477" i="1" l="1"/>
  <c r="AB477" i="1"/>
  <c r="AR532" i="1"/>
  <c r="AQ532" i="1"/>
  <c r="AT532" i="1" s="1"/>
  <c r="AS532" i="1" l="1"/>
  <c r="AC478" i="1"/>
  <c r="AF478" i="1" s="1"/>
  <c r="AD478" i="1"/>
  <c r="AE478" i="1" s="1"/>
  <c r="AG478" i="1" l="1"/>
  <c r="AB478" i="1"/>
  <c r="AP532" i="1"/>
  <c r="AU532" i="1"/>
  <c r="AQ533" i="1" l="1"/>
  <c r="AT533" i="1" s="1"/>
  <c r="AR533" i="1"/>
  <c r="AS533" i="1" s="1"/>
  <c r="AU533" i="1" s="1"/>
  <c r="AD479" i="1"/>
  <c r="AC479" i="1"/>
  <c r="AF479" i="1" s="1"/>
  <c r="AE479" i="1" l="1"/>
  <c r="AP533" i="1"/>
  <c r="AQ534" i="1" l="1"/>
  <c r="AT534" i="1" s="1"/>
  <c r="AR534" i="1"/>
  <c r="AB479" i="1"/>
  <c r="AG479" i="1"/>
  <c r="AS534" i="1" l="1"/>
  <c r="AD480" i="1"/>
  <c r="AC480" i="1"/>
  <c r="AF480" i="1" s="1"/>
  <c r="AU534" i="1" l="1"/>
  <c r="AP534" i="1"/>
  <c r="AE480" i="1"/>
  <c r="AR535" i="1" l="1"/>
  <c r="AQ535" i="1"/>
  <c r="AT535" i="1" s="1"/>
  <c r="AG480" i="1"/>
  <c r="AB480" i="1"/>
  <c r="AS535" i="1" l="1"/>
  <c r="AD481" i="1"/>
  <c r="AC481" i="1"/>
  <c r="AF481" i="1" s="1"/>
  <c r="AP535" i="1" l="1"/>
  <c r="AU535" i="1"/>
  <c r="AE481" i="1"/>
  <c r="AR536" i="1" l="1"/>
  <c r="AQ536" i="1"/>
  <c r="AT536" i="1" s="1"/>
  <c r="AB481" i="1"/>
  <c r="AG481" i="1"/>
  <c r="AS536" i="1" l="1"/>
  <c r="AD482" i="1"/>
  <c r="AC482" i="1"/>
  <c r="AF482" i="1" s="1"/>
  <c r="AU536" i="1" l="1"/>
  <c r="AP536" i="1"/>
  <c r="AE482" i="1"/>
  <c r="AQ537" i="1" l="1"/>
  <c r="AT537" i="1" s="1"/>
  <c r="AR537" i="1"/>
  <c r="AB482" i="1"/>
  <c r="AG482" i="1"/>
  <c r="AS537" i="1" l="1"/>
  <c r="AD483" i="1"/>
  <c r="AC483" i="1"/>
  <c r="AF483" i="1" s="1"/>
  <c r="AP537" i="1" l="1"/>
  <c r="AU537" i="1"/>
  <c r="AE483" i="1"/>
  <c r="AB483" i="1" s="1"/>
  <c r="AG483" i="1" l="1"/>
  <c r="AR538" i="1"/>
  <c r="AQ538" i="1"/>
  <c r="AT538" i="1" s="1"/>
  <c r="AC484" i="1"/>
  <c r="AF484" i="1" s="1"/>
  <c r="AD484" i="1"/>
  <c r="AE484" i="1" s="1"/>
  <c r="AS538" i="1" l="1"/>
  <c r="AG484" i="1"/>
  <c r="AB484" i="1"/>
  <c r="AP538" i="1" l="1"/>
  <c r="AU538" i="1"/>
  <c r="AD485" i="1"/>
  <c r="AC485" i="1"/>
  <c r="AF485" i="1" s="1"/>
  <c r="AR539" i="1" l="1"/>
  <c r="AQ539" i="1"/>
  <c r="AT539" i="1" s="1"/>
  <c r="AE485" i="1"/>
  <c r="AG485" i="1" s="1"/>
  <c r="AB485" i="1" l="1"/>
  <c r="AS539" i="1"/>
  <c r="AP539" i="1" l="1"/>
  <c r="AU539" i="1"/>
  <c r="AD486" i="1"/>
  <c r="AC486" i="1"/>
  <c r="AF486" i="1" s="1"/>
  <c r="AE486" i="1" l="1"/>
  <c r="AQ540" i="1"/>
  <c r="AT540" i="1" s="1"/>
  <c r="AR540" i="1"/>
  <c r="AS540" i="1" s="1"/>
  <c r="AU540" i="1" s="1"/>
  <c r="AP540" i="1"/>
  <c r="AQ541" i="1" l="1"/>
  <c r="AT541" i="1" s="1"/>
  <c r="AR541" i="1"/>
  <c r="AS541" i="1" s="1"/>
  <c r="AP541" i="1" s="1"/>
  <c r="AB486" i="1"/>
  <c r="AG486" i="1"/>
  <c r="AD487" i="1" l="1"/>
  <c r="AC487" i="1"/>
  <c r="AF487" i="1" s="1"/>
  <c r="AR542" i="1"/>
  <c r="AQ542" i="1"/>
  <c r="AT542" i="1"/>
  <c r="AU541" i="1"/>
  <c r="AS542" i="1" l="1"/>
  <c r="AP542" i="1" s="1"/>
  <c r="AE487" i="1"/>
  <c r="AB487" i="1" l="1"/>
  <c r="AG487" i="1"/>
  <c r="AQ543" i="1"/>
  <c r="AT543" i="1" s="1"/>
  <c r="AR543" i="1"/>
  <c r="AS543" i="1" s="1"/>
  <c r="AP543" i="1" s="1"/>
  <c r="AU542" i="1"/>
  <c r="AR544" i="1"/>
  <c r="AQ544" i="1"/>
  <c r="AT544" i="1" s="1"/>
  <c r="AU543" i="1"/>
  <c r="AC488" i="1" l="1"/>
  <c r="AF488" i="1" s="1"/>
  <c r="AD488" i="1"/>
  <c r="AE488" i="1" s="1"/>
  <c r="AB488" i="1" s="1"/>
  <c r="AS544" i="1"/>
  <c r="AP544" i="1" s="1"/>
  <c r="AD489" i="1" l="1"/>
  <c r="AC489" i="1"/>
  <c r="AF489" i="1" s="1"/>
  <c r="AG488" i="1"/>
  <c r="AR545" i="1"/>
  <c r="AQ545" i="1"/>
  <c r="AT545" i="1" s="1"/>
  <c r="AU544" i="1"/>
  <c r="AE489" i="1" l="1"/>
  <c r="AB489" i="1" s="1"/>
  <c r="AS545" i="1"/>
  <c r="AP545" i="1" s="1"/>
  <c r="AC490" i="1" l="1"/>
  <c r="AF490" i="1" s="1"/>
  <c r="AD490" i="1"/>
  <c r="AE490" i="1" s="1"/>
  <c r="AB490" i="1"/>
  <c r="AG489" i="1"/>
  <c r="AQ546" i="1"/>
  <c r="AT546" i="1" s="1"/>
  <c r="AR546" i="1"/>
  <c r="AS546" i="1" s="1"/>
  <c r="AP546" i="1" s="1"/>
  <c r="AU545" i="1"/>
  <c r="AC491" i="1" l="1"/>
  <c r="AF491" i="1" s="1"/>
  <c r="AD491" i="1"/>
  <c r="AG490" i="1"/>
  <c r="AU546" i="1"/>
  <c r="AR547" i="1"/>
  <c r="AQ547" i="1"/>
  <c r="AT547" i="1" s="1"/>
  <c r="AE491" i="1" l="1"/>
  <c r="AB491" i="1" s="1"/>
  <c r="AS547" i="1"/>
  <c r="AC492" i="1" l="1"/>
  <c r="AF492" i="1" s="1"/>
  <c r="AD492" i="1"/>
  <c r="AE492" i="1" s="1"/>
  <c r="AB492" i="1" s="1"/>
  <c r="AG491" i="1"/>
  <c r="AG492" i="1" s="1"/>
  <c r="AP547" i="1"/>
  <c r="AU547" i="1"/>
  <c r="AD493" i="1" l="1"/>
  <c r="AC493" i="1"/>
  <c r="AF493" i="1"/>
  <c r="AR548" i="1"/>
  <c r="AQ548" i="1"/>
  <c r="AT548" i="1" s="1"/>
  <c r="AE493" i="1" l="1"/>
  <c r="AS548" i="1"/>
  <c r="AB493" i="1" l="1"/>
  <c r="AG493" i="1"/>
  <c r="AU548" i="1"/>
  <c r="AP548" i="1"/>
  <c r="AD494" i="1" l="1"/>
  <c r="AC494" i="1"/>
  <c r="AF494" i="1" s="1"/>
  <c r="AQ549" i="1"/>
  <c r="AT549" i="1" s="1"/>
  <c r="AR549" i="1"/>
  <c r="AS549" i="1" s="1"/>
  <c r="AP549" i="1" s="1"/>
  <c r="AU549" i="1" l="1"/>
  <c r="AE494" i="1"/>
  <c r="AR550" i="1"/>
  <c r="AQ550" i="1"/>
  <c r="AT550" i="1" s="1"/>
  <c r="AB494" i="1" l="1"/>
  <c r="AG494" i="1"/>
  <c r="AS550" i="1"/>
  <c r="AC495" i="1" l="1"/>
  <c r="AF495" i="1" s="1"/>
  <c r="AD495" i="1"/>
  <c r="AE495" i="1" s="1"/>
  <c r="AB495" i="1" s="1"/>
  <c r="AU550" i="1"/>
  <c r="AP550" i="1"/>
  <c r="AD496" i="1" l="1"/>
  <c r="AC496" i="1"/>
  <c r="AF496" i="1" s="1"/>
  <c r="AG495" i="1"/>
  <c r="AR551" i="1"/>
  <c r="AQ551" i="1"/>
  <c r="AT551" i="1" s="1"/>
  <c r="AE496" i="1" l="1"/>
  <c r="AB496" i="1" s="1"/>
  <c r="AS551" i="1"/>
  <c r="AD497" i="1" l="1"/>
  <c r="AC497" i="1"/>
  <c r="AF497" i="1" s="1"/>
  <c r="AG496" i="1"/>
  <c r="AP551" i="1"/>
  <c r="AU551" i="1"/>
  <c r="AE497" i="1" l="1"/>
  <c r="AB497" i="1" s="1"/>
  <c r="AQ552" i="1"/>
  <c r="AT552" i="1" s="1"/>
  <c r="AR552" i="1"/>
  <c r="AS552" i="1" s="1"/>
  <c r="AC498" i="1" l="1"/>
  <c r="AF498" i="1" s="1"/>
  <c r="AD498" i="1"/>
  <c r="AE498" i="1" s="1"/>
  <c r="AG497" i="1"/>
  <c r="AP552" i="1"/>
  <c r="AU552" i="1"/>
  <c r="AG498" i="1" l="1"/>
  <c r="AB498" i="1"/>
  <c r="AQ553" i="1"/>
  <c r="AT553" i="1" s="1"/>
  <c r="AR553" i="1"/>
  <c r="AS553" i="1" s="1"/>
  <c r="AC499" i="1" l="1"/>
  <c r="AF499" i="1" s="1"/>
  <c r="AD499" i="1"/>
  <c r="AE499" i="1" s="1"/>
  <c r="AP553" i="1"/>
  <c r="AU553" i="1"/>
  <c r="AB499" i="1" l="1"/>
  <c r="AG499" i="1"/>
  <c r="AR554" i="1"/>
  <c r="AQ554" i="1"/>
  <c r="AT554" i="1" s="1"/>
  <c r="AC500" i="1" l="1"/>
  <c r="AF500" i="1" s="1"/>
  <c r="AD500" i="1"/>
  <c r="AE500" i="1" s="1"/>
  <c r="AS554" i="1"/>
  <c r="AG500" i="1" l="1"/>
  <c r="AB500" i="1"/>
  <c r="AP554" i="1"/>
  <c r="AU554" i="1"/>
  <c r="AC501" i="1" l="1"/>
  <c r="AF501" i="1" s="1"/>
  <c r="AD501" i="1"/>
  <c r="AE501" i="1" s="1"/>
  <c r="AR555" i="1"/>
  <c r="AQ555" i="1"/>
  <c r="AT555" i="1" s="1"/>
  <c r="AG501" i="1"/>
  <c r="AB501" i="1"/>
  <c r="AS555" i="1" l="1"/>
  <c r="AD502" i="1"/>
  <c r="AC502" i="1"/>
  <c r="AF502" i="1" s="1"/>
  <c r="AP555" i="1" l="1"/>
  <c r="AU555" i="1"/>
  <c r="AE502" i="1"/>
  <c r="AR556" i="1" l="1"/>
  <c r="AQ556" i="1"/>
  <c r="AT556" i="1" s="1"/>
  <c r="AG502" i="1"/>
  <c r="AB502" i="1"/>
  <c r="AS556" i="1" l="1"/>
  <c r="AD503" i="1"/>
  <c r="AC503" i="1"/>
  <c r="AF503" i="1" s="1"/>
  <c r="AP556" i="1" l="1"/>
  <c r="AU556" i="1"/>
  <c r="AE503" i="1"/>
  <c r="AQ557" i="1" l="1"/>
  <c r="AT557" i="1" s="1"/>
  <c r="AR557" i="1"/>
  <c r="AS557" i="1" s="1"/>
  <c r="AP557" i="1" s="1"/>
  <c r="AB503" i="1"/>
  <c r="AG503" i="1"/>
  <c r="AR558" i="1" l="1"/>
  <c r="AQ558" i="1"/>
  <c r="AT558" i="1" s="1"/>
  <c r="AU557" i="1"/>
  <c r="AD504" i="1"/>
  <c r="AC504" i="1"/>
  <c r="AF504" i="1" s="1"/>
  <c r="AE504" i="1" l="1"/>
  <c r="AG504" i="1" s="1"/>
  <c r="AS558" i="1"/>
  <c r="AP558" i="1" s="1"/>
  <c r="AB504" i="1"/>
  <c r="AR559" i="1" l="1"/>
  <c r="AQ559" i="1"/>
  <c r="AT559" i="1" s="1"/>
  <c r="AU558" i="1"/>
  <c r="AC505" i="1"/>
  <c r="AF505" i="1" s="1"/>
  <c r="AD505" i="1"/>
  <c r="AE505" i="1" s="1"/>
  <c r="AG505" i="1" s="1"/>
  <c r="AS559" i="1" l="1"/>
  <c r="AP559" i="1" s="1"/>
  <c r="AB505" i="1"/>
  <c r="AR560" i="1" l="1"/>
  <c r="AQ560" i="1"/>
  <c r="AT560" i="1" s="1"/>
  <c r="AU559" i="1"/>
  <c r="AD506" i="1"/>
  <c r="AC506" i="1"/>
  <c r="AF506" i="1" s="1"/>
  <c r="AS560" i="1" l="1"/>
  <c r="AP560" i="1" s="1"/>
  <c r="AE506" i="1"/>
  <c r="AR561" i="1" l="1"/>
  <c r="AQ561" i="1"/>
  <c r="AT561" i="1" s="1"/>
  <c r="AU560" i="1"/>
  <c r="AG506" i="1"/>
  <c r="AB506" i="1"/>
  <c r="AS561" i="1" l="1"/>
  <c r="AP561" i="1" s="1"/>
  <c r="AD507" i="1"/>
  <c r="AC507" i="1"/>
  <c r="AF507" i="1" s="1"/>
  <c r="AQ562" i="1" l="1"/>
  <c r="AT562" i="1" s="1"/>
  <c r="AR562" i="1"/>
  <c r="AS562" i="1" s="1"/>
  <c r="AP562" i="1" s="1"/>
  <c r="AU561" i="1"/>
  <c r="AU562" i="1" s="1"/>
  <c r="AE507" i="1"/>
  <c r="AQ563" i="1" l="1"/>
  <c r="AT563" i="1" s="1"/>
  <c r="AR563" i="1"/>
  <c r="AS563" i="1" s="1"/>
  <c r="AG507" i="1"/>
  <c r="AB507" i="1"/>
  <c r="AP563" i="1" l="1"/>
  <c r="AU563" i="1"/>
  <c r="AD508" i="1"/>
  <c r="AC508" i="1"/>
  <c r="AF508" i="1" s="1"/>
  <c r="AQ564" i="1" l="1"/>
  <c r="AT564" i="1" s="1"/>
  <c r="AR564" i="1"/>
  <c r="AS564" i="1" s="1"/>
  <c r="AE508" i="1"/>
  <c r="AP564" i="1" l="1"/>
  <c r="AU564" i="1"/>
  <c r="AB508" i="1"/>
  <c r="AG508" i="1"/>
  <c r="AQ565" i="1" l="1"/>
  <c r="AT565" i="1" s="1"/>
  <c r="AR565" i="1"/>
  <c r="AS565" i="1" s="1"/>
  <c r="AC509" i="1"/>
  <c r="AF509" i="1" s="1"/>
  <c r="AD509" i="1"/>
  <c r="AE509" i="1" l="1"/>
  <c r="AB509" i="1" s="1"/>
  <c r="AG509" i="1"/>
  <c r="AP565" i="1"/>
  <c r="AU565" i="1"/>
  <c r="AD510" i="1"/>
  <c r="AC510" i="1"/>
  <c r="AF510" i="1"/>
  <c r="AQ566" i="1" l="1"/>
  <c r="AT566" i="1" s="1"/>
  <c r="AR566" i="1"/>
  <c r="AS566" i="1" s="1"/>
  <c r="AP566" i="1" s="1"/>
  <c r="AE510" i="1"/>
  <c r="AQ567" i="1" l="1"/>
  <c r="AT567" i="1" s="1"/>
  <c r="AR567" i="1"/>
  <c r="AS567" i="1" s="1"/>
  <c r="AP567" i="1" s="1"/>
  <c r="AU566" i="1"/>
  <c r="AB510" i="1"/>
  <c r="AG510" i="1"/>
  <c r="AU567" i="1" l="1"/>
  <c r="AR568" i="1"/>
  <c r="AQ568" i="1"/>
  <c r="AT568" i="1" s="1"/>
  <c r="AD511" i="1"/>
  <c r="AC511" i="1"/>
  <c r="AF511" i="1" s="1"/>
  <c r="AS568" i="1" l="1"/>
  <c r="AE511" i="1"/>
  <c r="AU568" i="1" l="1"/>
  <c r="AP568" i="1"/>
  <c r="AG511" i="1"/>
  <c r="AB511" i="1"/>
  <c r="AR569" i="1" l="1"/>
  <c r="AQ569" i="1"/>
  <c r="AT569" i="1" s="1"/>
  <c r="AD512" i="1"/>
  <c r="AC512" i="1"/>
  <c r="AF512" i="1" s="1"/>
  <c r="AS569" i="1" l="1"/>
  <c r="AE512" i="1"/>
  <c r="AP569" i="1" l="1"/>
  <c r="AU569" i="1"/>
  <c r="AB512" i="1"/>
  <c r="AG512" i="1"/>
  <c r="AQ570" i="1" l="1"/>
  <c r="AT570" i="1" s="1"/>
  <c r="AR570" i="1"/>
  <c r="AC513" i="1"/>
  <c r="AF513" i="1" s="1"/>
  <c r="AD513" i="1"/>
  <c r="AS570" i="1" l="1"/>
  <c r="AU570" i="1" s="1"/>
  <c r="AE513" i="1"/>
  <c r="AG513" i="1" s="1"/>
  <c r="AB513" i="1"/>
  <c r="AP570" i="1" l="1"/>
  <c r="AQ571" i="1"/>
  <c r="AT571" i="1" s="1"/>
  <c r="AR571" i="1"/>
  <c r="AS571" i="1" s="1"/>
  <c r="AU571" i="1"/>
  <c r="AC514" i="1"/>
  <c r="AF514" i="1" s="1"/>
  <c r="AD514" i="1"/>
  <c r="AP571" i="1" l="1"/>
  <c r="AE514" i="1"/>
  <c r="AG514" i="1" s="1"/>
  <c r="AB514" i="1"/>
  <c r="AR572" i="1"/>
  <c r="AQ572" i="1"/>
  <c r="AT572" i="1" s="1"/>
  <c r="AS572" i="1" l="1"/>
  <c r="AD515" i="1"/>
  <c r="AC515" i="1"/>
  <c r="AF515" i="1" s="1"/>
  <c r="AE515" i="1" l="1"/>
  <c r="AP572" i="1"/>
  <c r="AU572" i="1"/>
  <c r="AR573" i="1" l="1"/>
  <c r="AQ573" i="1"/>
  <c r="AT573" i="1" s="1"/>
  <c r="AG515" i="1"/>
  <c r="AB515" i="1"/>
  <c r="AD516" i="1" l="1"/>
  <c r="AC516" i="1"/>
  <c r="AF516" i="1" s="1"/>
  <c r="AS573" i="1"/>
  <c r="AP573" i="1" l="1"/>
  <c r="AU573" i="1"/>
  <c r="AE516" i="1"/>
  <c r="AB516" i="1" l="1"/>
  <c r="AG516" i="1"/>
  <c r="AQ574" i="1"/>
  <c r="AT574" i="1" s="1"/>
  <c r="AR574" i="1"/>
  <c r="AS574" i="1" s="1"/>
  <c r="AP574" i="1" s="1"/>
  <c r="AR575" i="1" l="1"/>
  <c r="AQ575" i="1"/>
  <c r="AT575" i="1" s="1"/>
  <c r="AU574" i="1"/>
  <c r="AC517" i="1"/>
  <c r="AF517" i="1" s="1"/>
  <c r="AD517" i="1"/>
  <c r="AE517" i="1" l="1"/>
  <c r="AS575" i="1"/>
  <c r="AP575" i="1" s="1"/>
  <c r="AR576" i="1" l="1"/>
  <c r="AQ576" i="1"/>
  <c r="AT576" i="1" s="1"/>
  <c r="AG517" i="1"/>
  <c r="AB517" i="1"/>
  <c r="AU575" i="1"/>
  <c r="AC518" i="1" l="1"/>
  <c r="AF518" i="1" s="1"/>
  <c r="AD518" i="1"/>
  <c r="AE518" i="1" s="1"/>
  <c r="AB518" i="1" s="1"/>
  <c r="AS576" i="1"/>
  <c r="AP576" i="1" s="1"/>
  <c r="AD519" i="1" l="1"/>
  <c r="AC519" i="1"/>
  <c r="AR577" i="1"/>
  <c r="AQ577" i="1"/>
  <c r="AT577" i="1" s="1"/>
  <c r="AG518" i="1"/>
  <c r="AF519" i="1"/>
  <c r="AU576" i="1"/>
  <c r="AS577" i="1" l="1"/>
  <c r="AP577" i="1" s="1"/>
  <c r="AE519" i="1"/>
  <c r="AB519" i="1" s="1"/>
  <c r="AD520" i="1" l="1"/>
  <c r="AC520" i="1"/>
  <c r="AF520" i="1" s="1"/>
  <c r="AU577" i="1"/>
  <c r="AQ578" i="1"/>
  <c r="AT578" i="1" s="1"/>
  <c r="AR578" i="1"/>
  <c r="AS578" i="1" s="1"/>
  <c r="AP578" i="1" s="1"/>
  <c r="AG519" i="1"/>
  <c r="AR579" i="1" l="1"/>
  <c r="AQ579" i="1"/>
  <c r="AU578" i="1"/>
  <c r="AT579" i="1"/>
  <c r="AE520" i="1"/>
  <c r="AB520" i="1" s="1"/>
  <c r="AC521" i="1" l="1"/>
  <c r="AF521" i="1" s="1"/>
  <c r="AD521" i="1"/>
  <c r="AE521" i="1" s="1"/>
  <c r="AB521" i="1" s="1"/>
  <c r="AG520" i="1"/>
  <c r="AS579" i="1"/>
  <c r="AP579" i="1" s="1"/>
  <c r="AD522" i="1" l="1"/>
  <c r="AC522" i="1"/>
  <c r="AF522" i="1" s="1"/>
  <c r="AR580" i="1"/>
  <c r="AQ580" i="1"/>
  <c r="AT580" i="1" s="1"/>
  <c r="AU579" i="1"/>
  <c r="AG521" i="1"/>
  <c r="AS580" i="1" l="1"/>
  <c r="AP580" i="1" s="1"/>
  <c r="AR581" i="1" s="1"/>
  <c r="AQ581" i="1"/>
  <c r="AT581" i="1" s="1"/>
  <c r="AE522" i="1"/>
  <c r="AB522" i="1" s="1"/>
  <c r="AU580" i="1" l="1"/>
  <c r="AG522" i="1"/>
  <c r="AD523" i="1"/>
  <c r="AC523" i="1"/>
  <c r="AF523" i="1" s="1"/>
  <c r="AS581" i="1"/>
  <c r="AP581" i="1" l="1"/>
  <c r="AU581" i="1"/>
  <c r="AE523" i="1"/>
  <c r="AB523" i="1" s="1"/>
  <c r="AD524" i="1" l="1"/>
  <c r="AC524" i="1"/>
  <c r="AF524" i="1" s="1"/>
  <c r="AG523" i="1"/>
  <c r="AQ582" i="1"/>
  <c r="AT582" i="1" s="1"/>
  <c r="AR582" i="1"/>
  <c r="AS582" i="1" s="1"/>
  <c r="AU582" i="1" s="1"/>
  <c r="AP582" i="1" l="1"/>
  <c r="AE524" i="1"/>
  <c r="AB524" i="1" s="1"/>
  <c r="AG524" i="1" l="1"/>
  <c r="AC525" i="1"/>
  <c r="AF525" i="1" s="1"/>
  <c r="AD525" i="1"/>
  <c r="AE525" i="1" s="1"/>
  <c r="AB525" i="1" s="1"/>
  <c r="AR583" i="1"/>
  <c r="AQ583" i="1"/>
  <c r="AT583" i="1" s="1"/>
  <c r="AD526" i="1" l="1"/>
  <c r="AC526" i="1"/>
  <c r="AS583" i="1"/>
  <c r="AF526" i="1"/>
  <c r="AG525" i="1"/>
  <c r="AU583" i="1" l="1"/>
  <c r="AP583" i="1"/>
  <c r="AE526" i="1"/>
  <c r="AB526" i="1" s="1"/>
  <c r="AC527" i="1" l="1"/>
  <c r="AF527" i="1" s="1"/>
  <c r="AD527" i="1"/>
  <c r="AE527" i="1" s="1"/>
  <c r="AB527" i="1" s="1"/>
  <c r="AR584" i="1"/>
  <c r="AQ584" i="1"/>
  <c r="AT584" i="1" s="1"/>
  <c r="AG526" i="1"/>
  <c r="AG527" i="1" l="1"/>
  <c r="AC528" i="1"/>
  <c r="AD528" i="1"/>
  <c r="AE528" i="1" s="1"/>
  <c r="AB528" i="1" s="1"/>
  <c r="AG528" i="1"/>
  <c r="AS584" i="1"/>
  <c r="AF528" i="1"/>
  <c r="AD529" i="1" l="1"/>
  <c r="AC529" i="1"/>
  <c r="AF529" i="1"/>
  <c r="AP584" i="1"/>
  <c r="AU584" i="1"/>
  <c r="AR585" i="1" l="1"/>
  <c r="AQ585" i="1"/>
  <c r="AT585" i="1" s="1"/>
  <c r="AE529" i="1"/>
  <c r="AB529" i="1" l="1"/>
  <c r="AG529" i="1"/>
  <c r="AS585" i="1"/>
  <c r="AU585" i="1" l="1"/>
  <c r="AP585" i="1"/>
  <c r="AD530" i="1"/>
  <c r="AC530" i="1"/>
  <c r="AF530" i="1" s="1"/>
  <c r="AE530" i="1" l="1"/>
  <c r="AQ586" i="1"/>
  <c r="AT586" i="1" s="1"/>
  <c r="AR586" i="1"/>
  <c r="AS586" i="1" s="1"/>
  <c r="AP586" i="1" s="1"/>
  <c r="AU586" i="1" l="1"/>
  <c r="AR587" i="1"/>
  <c r="AQ587" i="1"/>
  <c r="AT587" i="1"/>
  <c r="AB530" i="1"/>
  <c r="AG530" i="1"/>
  <c r="AC531" i="1" l="1"/>
  <c r="AF531" i="1" s="1"/>
  <c r="AD531" i="1"/>
  <c r="AE531" i="1" s="1"/>
  <c r="AG531" i="1" s="1"/>
  <c r="AS587" i="1"/>
  <c r="AP587" i="1" l="1"/>
  <c r="AU587" i="1"/>
  <c r="AB531" i="1"/>
  <c r="AC532" i="1" l="1"/>
  <c r="AF532" i="1" s="1"/>
  <c r="AD532" i="1"/>
  <c r="AR588" i="1"/>
  <c r="AQ588" i="1"/>
  <c r="AT588" i="1" s="1"/>
  <c r="AE532" i="1" l="1"/>
  <c r="AG532" i="1" s="1"/>
  <c r="AB532" i="1"/>
  <c r="AD533" i="1" s="1"/>
  <c r="AS588" i="1"/>
  <c r="AC533" i="1" l="1"/>
  <c r="AF533" i="1" s="1"/>
  <c r="AU588" i="1"/>
  <c r="AP588" i="1"/>
  <c r="AE533" i="1"/>
  <c r="AB533" i="1" l="1"/>
  <c r="AG533" i="1"/>
  <c r="AR589" i="1"/>
  <c r="AQ589" i="1"/>
  <c r="AT589" i="1" s="1"/>
  <c r="AS589" i="1" l="1"/>
  <c r="AD534" i="1"/>
  <c r="AC534" i="1"/>
  <c r="AF534" i="1" s="1"/>
  <c r="AE534" i="1" l="1"/>
  <c r="AP589" i="1"/>
  <c r="AU589" i="1"/>
  <c r="AQ590" i="1" l="1"/>
  <c r="AT590" i="1" s="1"/>
  <c r="AR590" i="1"/>
  <c r="AS590" i="1" s="1"/>
  <c r="AU590" i="1" s="1"/>
  <c r="AG534" i="1"/>
  <c r="AB534" i="1"/>
  <c r="AP590" i="1" l="1"/>
  <c r="AC535" i="1"/>
  <c r="AF535" i="1" s="1"/>
  <c r="AD535" i="1"/>
  <c r="AE535" i="1" l="1"/>
  <c r="AR591" i="1"/>
  <c r="AQ591" i="1"/>
  <c r="AT591" i="1" s="1"/>
  <c r="AS591" i="1" l="1"/>
  <c r="AG535" i="1"/>
  <c r="AB535" i="1"/>
  <c r="AC536" i="1" l="1"/>
  <c r="AF536" i="1" s="1"/>
  <c r="AD536" i="1"/>
  <c r="AE536" i="1" s="1"/>
  <c r="AB536" i="1" s="1"/>
  <c r="AU591" i="1"/>
  <c r="AP591" i="1"/>
  <c r="AG536" i="1" l="1"/>
  <c r="AR592" i="1"/>
  <c r="AQ592" i="1"/>
  <c r="AT592" i="1" s="1"/>
  <c r="AC537" i="1"/>
  <c r="AF537" i="1" s="1"/>
  <c r="AD537" i="1"/>
  <c r="AE537" i="1" s="1"/>
  <c r="AG537" i="1" s="1"/>
  <c r="AB537" i="1" l="1"/>
  <c r="AS592" i="1"/>
  <c r="AP592" i="1" l="1"/>
  <c r="AU592" i="1"/>
  <c r="AD538" i="1"/>
  <c r="AC538" i="1"/>
  <c r="AF538" i="1" s="1"/>
  <c r="AE538" i="1" l="1"/>
  <c r="AR593" i="1"/>
  <c r="AQ593" i="1"/>
  <c r="AT593" i="1" s="1"/>
  <c r="AS593" i="1" l="1"/>
  <c r="AG538" i="1"/>
  <c r="AB538" i="1"/>
  <c r="AC539" i="1" l="1"/>
  <c r="AF539" i="1" s="1"/>
  <c r="AD539" i="1"/>
  <c r="AE539" i="1" s="1"/>
  <c r="AB539" i="1"/>
  <c r="AG539" i="1"/>
  <c r="AU593" i="1"/>
  <c r="AP593" i="1"/>
  <c r="AQ594" i="1" l="1"/>
  <c r="AT594" i="1" s="1"/>
  <c r="AR594" i="1"/>
  <c r="AC540" i="1"/>
  <c r="AF540" i="1" s="1"/>
  <c r="AD540" i="1"/>
  <c r="AE540" i="1" s="1"/>
  <c r="AG540" i="1" s="1"/>
  <c r="AS594" i="1" l="1"/>
  <c r="AP594" i="1" s="1"/>
  <c r="AR595" i="1"/>
  <c r="AQ595" i="1"/>
  <c r="AB540" i="1"/>
  <c r="AU594" i="1"/>
  <c r="AT595" i="1"/>
  <c r="AD541" i="1" l="1"/>
  <c r="AC541" i="1"/>
  <c r="AF541" i="1" s="1"/>
  <c r="AS595" i="1"/>
  <c r="AP595" i="1" s="1"/>
  <c r="AR596" i="1" l="1"/>
  <c r="AQ596" i="1"/>
  <c r="AT596" i="1" s="1"/>
  <c r="AE541" i="1"/>
  <c r="AU595" i="1"/>
  <c r="AG541" i="1" l="1"/>
  <c r="AB541" i="1"/>
  <c r="AS596" i="1"/>
  <c r="AP596" i="1" s="1"/>
  <c r="AR597" i="1" l="1"/>
  <c r="AQ597" i="1"/>
  <c r="AT597" i="1" s="1"/>
  <c r="AD542" i="1"/>
  <c r="AC542" i="1"/>
  <c r="AF542" i="1" s="1"/>
  <c r="AU596" i="1"/>
  <c r="AE542" i="1" l="1"/>
  <c r="AS597" i="1"/>
  <c r="AP597" i="1" s="1"/>
  <c r="AQ598" i="1" l="1"/>
  <c r="AT598" i="1" s="1"/>
  <c r="AR598" i="1"/>
  <c r="AS598" i="1" s="1"/>
  <c r="AP598" i="1" s="1"/>
  <c r="AB542" i="1"/>
  <c r="AG542" i="1"/>
  <c r="AU597" i="1"/>
  <c r="AU598" i="1" s="1"/>
  <c r="AR599" i="1" l="1"/>
  <c r="AQ599" i="1"/>
  <c r="AT599" i="1" s="1"/>
  <c r="AC543" i="1"/>
  <c r="AF543" i="1" s="1"/>
  <c r="AD543" i="1"/>
  <c r="AE543" i="1" s="1"/>
  <c r="AG543" i="1" s="1"/>
  <c r="AB543" i="1" l="1"/>
  <c r="AS599" i="1"/>
  <c r="AP599" i="1" l="1"/>
  <c r="AU599" i="1"/>
  <c r="AC544" i="1"/>
  <c r="AF544" i="1" s="1"/>
  <c r="AD544" i="1"/>
  <c r="AE544" i="1" s="1"/>
  <c r="AG544" i="1" s="1"/>
  <c r="AB544" i="1" l="1"/>
  <c r="AR600" i="1"/>
  <c r="AQ600" i="1"/>
  <c r="AT600" i="1" s="1"/>
  <c r="AS600" i="1" l="1"/>
  <c r="AD545" i="1"/>
  <c r="AC545" i="1"/>
  <c r="AF545" i="1" s="1"/>
  <c r="AE545" i="1" l="1"/>
  <c r="AU600" i="1"/>
  <c r="AP600" i="1"/>
  <c r="AR601" i="1" l="1"/>
  <c r="AQ601" i="1"/>
  <c r="AT601" i="1" s="1"/>
  <c r="AG545" i="1"/>
  <c r="AB545" i="1"/>
  <c r="AD546" i="1" l="1"/>
  <c r="AC546" i="1"/>
  <c r="AF546" i="1" s="1"/>
  <c r="AS601" i="1"/>
  <c r="AP601" i="1" l="1"/>
  <c r="AU601" i="1"/>
  <c r="AE546" i="1"/>
  <c r="AG546" i="1" l="1"/>
  <c r="AB546" i="1"/>
  <c r="AQ602" i="1"/>
  <c r="AT602" i="1" s="1"/>
  <c r="AR602" i="1"/>
  <c r="AS602" i="1" s="1"/>
  <c r="AU602" i="1" s="1"/>
  <c r="AP602" i="1" l="1"/>
  <c r="AC547" i="1"/>
  <c r="AF547" i="1" s="1"/>
  <c r="AD547" i="1"/>
  <c r="AE547" i="1" l="1"/>
  <c r="AB547" i="1" s="1"/>
  <c r="AC548" i="1"/>
  <c r="AD548" i="1"/>
  <c r="AE548" i="1" s="1"/>
  <c r="AB548" i="1" s="1"/>
  <c r="AG547" i="1"/>
  <c r="AF548" i="1"/>
  <c r="AR603" i="1"/>
  <c r="AQ603" i="1"/>
  <c r="AT603" i="1" s="1"/>
  <c r="AG548" i="1" l="1"/>
  <c r="AD549" i="1"/>
  <c r="AC549" i="1"/>
  <c r="AS603" i="1"/>
  <c r="AF549" i="1"/>
  <c r="AU603" i="1" l="1"/>
  <c r="AP603" i="1"/>
  <c r="AE549" i="1"/>
  <c r="AB549" i="1" l="1"/>
  <c r="AG549" i="1"/>
  <c r="AR604" i="1"/>
  <c r="AQ604" i="1"/>
  <c r="AT604" i="1" s="1"/>
  <c r="AS604" i="1" l="1"/>
  <c r="AD550" i="1"/>
  <c r="AC550" i="1"/>
  <c r="AF550" i="1" s="1"/>
  <c r="AE550" i="1" l="1"/>
  <c r="AP604" i="1"/>
  <c r="AU604" i="1"/>
  <c r="AR605" i="1" l="1"/>
  <c r="AQ605" i="1"/>
  <c r="AT605" i="1" s="1"/>
  <c r="AG550" i="1"/>
  <c r="AB550" i="1"/>
  <c r="AC551" i="1" l="1"/>
  <c r="AF551" i="1" s="1"/>
  <c r="AD551" i="1"/>
  <c r="AE551" i="1" s="1"/>
  <c r="AB551" i="1" s="1"/>
  <c r="AG551" i="1"/>
  <c r="AS605" i="1"/>
  <c r="AC552" i="1" l="1"/>
  <c r="AD552" i="1"/>
  <c r="AE552" i="1" s="1"/>
  <c r="AB552" i="1"/>
  <c r="AG552" i="1"/>
  <c r="AU605" i="1"/>
  <c r="AP605" i="1"/>
  <c r="AF552" i="1"/>
  <c r="AQ606" i="1" l="1"/>
  <c r="AT606" i="1" s="1"/>
  <c r="AR606" i="1"/>
  <c r="AS606" i="1" s="1"/>
  <c r="AP606" i="1" s="1"/>
  <c r="AD553" i="1"/>
  <c r="AC553" i="1"/>
  <c r="AF553" i="1" s="1"/>
  <c r="AE553" i="1" l="1"/>
  <c r="AG553" i="1" s="1"/>
  <c r="AR607" i="1"/>
  <c r="AQ607" i="1"/>
  <c r="AT607" i="1" s="1"/>
  <c r="AU606" i="1"/>
  <c r="AB553" i="1" l="1"/>
  <c r="AD554" i="1"/>
  <c r="AC554" i="1"/>
  <c r="AF554" i="1" s="1"/>
  <c r="AS607" i="1"/>
  <c r="AP607" i="1" s="1"/>
  <c r="AR608" i="1" l="1"/>
  <c r="AQ608" i="1"/>
  <c r="AT608" i="1" s="1"/>
  <c r="AE554" i="1"/>
  <c r="AU607" i="1"/>
  <c r="AG554" i="1" l="1"/>
  <c r="AB554" i="1"/>
  <c r="AS608" i="1"/>
  <c r="AP608" i="1" s="1"/>
  <c r="AX8" i="1" s="1"/>
  <c r="O74" i="1" l="1"/>
  <c r="BC26" i="1"/>
  <c r="BE24" i="1"/>
  <c r="BC20" i="1"/>
  <c r="BE19" i="1"/>
  <c r="O93" i="1"/>
  <c r="O89" i="1"/>
  <c r="O85" i="1"/>
  <c r="O81" i="1"/>
  <c r="O77" i="1"/>
  <c r="O72" i="1"/>
  <c r="O71" i="1"/>
  <c r="O70" i="1"/>
  <c r="O69" i="1"/>
  <c r="O68" i="1"/>
  <c r="O67" i="1"/>
  <c r="O66" i="1"/>
  <c r="O65" i="1"/>
  <c r="BC39" i="1"/>
  <c r="BE38" i="1"/>
  <c r="BC35" i="1"/>
  <c r="BE34" i="1"/>
  <c r="BC32" i="1"/>
  <c r="BE31" i="1"/>
  <c r="BC28" i="1"/>
  <c r="BE27" i="1"/>
  <c r="C26" i="1"/>
  <c r="BD24" i="1"/>
  <c r="BD19" i="1"/>
  <c r="BC24" i="1"/>
  <c r="BE22" i="1"/>
  <c r="BC19" i="1"/>
  <c r="O94" i="1"/>
  <c r="O90" i="1"/>
  <c r="O86" i="1"/>
  <c r="O82" i="1"/>
  <c r="O78" i="1"/>
  <c r="BC38" i="1"/>
  <c r="BE37" i="1"/>
  <c r="BC34" i="1"/>
  <c r="BC31" i="1"/>
  <c r="BE30" i="1"/>
  <c r="BC27" i="1"/>
  <c r="BE25" i="1"/>
  <c r="BD22" i="1"/>
  <c r="BD18" i="1"/>
  <c r="BC15" i="1"/>
  <c r="O73" i="1"/>
  <c r="BE33" i="1"/>
  <c r="O92" i="1"/>
  <c r="O88" i="1"/>
  <c r="O84" i="1"/>
  <c r="O80" i="1"/>
  <c r="O76" i="1"/>
  <c r="BC40" i="1"/>
  <c r="BE39" i="1"/>
  <c r="BC36" i="1"/>
  <c r="BE35" i="1"/>
  <c r="BE32" i="1"/>
  <c r="BC29" i="1"/>
  <c r="BE28" i="1"/>
  <c r="BC23" i="1"/>
  <c r="BD20" i="1"/>
  <c r="BC17" i="1"/>
  <c r="BE16" i="1"/>
  <c r="O87" i="1"/>
  <c r="BE36" i="1"/>
  <c r="BE29" i="1"/>
  <c r="C27" i="1"/>
  <c r="BD21" i="1"/>
  <c r="BE17" i="1"/>
  <c r="J13" i="1"/>
  <c r="BC11" i="1"/>
  <c r="BE10" i="1"/>
  <c r="BE15" i="1"/>
  <c r="BC10" i="1"/>
  <c r="O79" i="1"/>
  <c r="BD12" i="1"/>
  <c r="BC33" i="1"/>
  <c r="BE21" i="1"/>
  <c r="BC16" i="1"/>
  <c r="BC13" i="1"/>
  <c r="BE23" i="1"/>
  <c r="BC22" i="1"/>
  <c r="BC21" i="1"/>
  <c r="BD17" i="1"/>
  <c r="BE14" i="1"/>
  <c r="BE12" i="1"/>
  <c r="BE20" i="1"/>
  <c r="O91" i="1"/>
  <c r="O75" i="1"/>
  <c r="BE26" i="1"/>
  <c r="BC25" i="1"/>
  <c r="BD23" i="1"/>
  <c r="BD10" i="1"/>
  <c r="O95" i="1"/>
  <c r="BC37" i="1"/>
  <c r="BC30" i="1"/>
  <c r="BE18" i="1"/>
  <c r="BD15" i="1"/>
  <c r="BD14" i="1"/>
  <c r="BD11" i="1"/>
  <c r="BC18" i="1"/>
  <c r="BC14" i="1"/>
  <c r="BE13" i="1"/>
  <c r="BC12" i="1"/>
  <c r="AX10" i="1"/>
  <c r="O83" i="1"/>
  <c r="BE40" i="1"/>
  <c r="BD16" i="1"/>
  <c r="BD13" i="1"/>
  <c r="BE11" i="1"/>
  <c r="AX9" i="1"/>
  <c r="BD39" i="1" s="1"/>
  <c r="AU608" i="1"/>
  <c r="AC555" i="1"/>
  <c r="AF555" i="1" s="1"/>
  <c r="AD555" i="1"/>
  <c r="BD25" i="1" l="1"/>
  <c r="BD26" i="1"/>
  <c r="BD27" i="1"/>
  <c r="BD29" i="1"/>
  <c r="BD28" i="1"/>
  <c r="BD31" i="1"/>
  <c r="BD33" i="1"/>
  <c r="BD30" i="1"/>
  <c r="BD32" i="1"/>
  <c r="BD34" i="1"/>
  <c r="C25" i="1"/>
  <c r="F13" i="1"/>
  <c r="BD36" i="1"/>
  <c r="AE555" i="1"/>
  <c r="BD40" i="1"/>
  <c r="BD35" i="1"/>
  <c r="BD38" i="1"/>
  <c r="B34" i="1"/>
  <c r="C24" i="1"/>
  <c r="AX13" i="1"/>
  <c r="J9" i="1"/>
  <c r="BD37" i="1"/>
  <c r="AG555" i="1" l="1"/>
  <c r="AB555" i="1"/>
  <c r="AC556" i="1" l="1"/>
  <c r="AF556" i="1" s="1"/>
  <c r="AD556" i="1"/>
  <c r="AE556" i="1" s="1"/>
  <c r="AB556" i="1" s="1"/>
  <c r="AG556" i="1"/>
  <c r="AD557" i="1" l="1"/>
  <c r="AC557" i="1"/>
  <c r="AF557" i="1"/>
  <c r="AE557" i="1" l="1"/>
  <c r="AB557" i="1" l="1"/>
  <c r="AG557" i="1"/>
  <c r="AD558" i="1" l="1"/>
  <c r="AC558" i="1"/>
  <c r="AF558" i="1" s="1"/>
  <c r="AE558" i="1" l="1"/>
  <c r="AG558" i="1" l="1"/>
  <c r="AB558" i="1"/>
  <c r="AC559" i="1" l="1"/>
  <c r="AF559" i="1" s="1"/>
  <c r="AD559" i="1"/>
  <c r="AE559" i="1" s="1"/>
  <c r="AB559" i="1" s="1"/>
  <c r="AG559" i="1"/>
  <c r="AC560" i="1" l="1"/>
  <c r="AD560" i="1"/>
  <c r="AE560" i="1" s="1"/>
  <c r="AB560" i="1"/>
  <c r="AG560" i="1"/>
  <c r="AF560" i="1"/>
  <c r="AC561" i="1" l="1"/>
  <c r="AF561" i="1" s="1"/>
  <c r="AD561" i="1"/>
  <c r="AE561" i="1" s="1"/>
  <c r="AG561" i="1" s="1"/>
  <c r="AB561" i="1" l="1"/>
  <c r="AD562" i="1"/>
  <c r="AC562" i="1"/>
  <c r="AF562" i="1" s="1"/>
  <c r="AE562" i="1" l="1"/>
  <c r="AG562" i="1" l="1"/>
  <c r="AB562" i="1"/>
  <c r="AD563" i="1" l="1"/>
  <c r="AC563" i="1"/>
  <c r="AF563" i="1" s="1"/>
  <c r="AE563" i="1" l="1"/>
  <c r="AB563" i="1" l="1"/>
  <c r="AG563" i="1"/>
  <c r="AC564" i="1" l="1"/>
  <c r="AF564" i="1" s="1"/>
  <c r="AD564" i="1"/>
  <c r="AE564" i="1" s="1"/>
  <c r="AG564" i="1" s="1"/>
  <c r="AB564" i="1" l="1"/>
  <c r="AC565" i="1" l="1"/>
  <c r="AF565" i="1" s="1"/>
  <c r="AD565" i="1"/>
  <c r="AE565" i="1" s="1"/>
  <c r="AG565" i="1" s="1"/>
  <c r="AB565" i="1" l="1"/>
  <c r="AD566" i="1"/>
  <c r="AC566" i="1"/>
  <c r="AF566" i="1"/>
  <c r="AE566" i="1" l="1"/>
  <c r="AB566" i="1" l="1"/>
  <c r="AG566" i="1"/>
  <c r="AD567" i="1" l="1"/>
  <c r="AC567" i="1"/>
  <c r="AF567" i="1" s="1"/>
  <c r="AE567" i="1" l="1"/>
  <c r="AG567" i="1" l="1"/>
  <c r="AB567" i="1"/>
  <c r="AC568" i="1" l="1"/>
  <c r="AF568" i="1" s="1"/>
  <c r="AD568" i="1"/>
  <c r="AE568" i="1" s="1"/>
  <c r="AB568" i="1"/>
  <c r="AG568" i="1"/>
  <c r="AD569" i="1" l="1"/>
  <c r="AC569" i="1"/>
  <c r="AF569" i="1"/>
  <c r="AE569" i="1" l="1"/>
  <c r="AG569" i="1" l="1"/>
  <c r="AB569" i="1"/>
  <c r="AD570" i="1" l="1"/>
  <c r="AC570" i="1"/>
  <c r="AF570" i="1" s="1"/>
  <c r="AE570" i="1" l="1"/>
  <c r="AB570" i="1" l="1"/>
  <c r="AG570" i="1"/>
  <c r="AD571" i="1" l="1"/>
  <c r="AC571" i="1"/>
  <c r="AF571" i="1" s="1"/>
  <c r="AE571" i="1" l="1"/>
  <c r="AG571" i="1" l="1"/>
  <c r="AB571" i="1"/>
  <c r="AC572" i="1" l="1"/>
  <c r="AF572" i="1" s="1"/>
  <c r="AD572" i="1"/>
  <c r="AE572" i="1" s="1"/>
  <c r="AB572" i="1" s="1"/>
  <c r="AG572" i="1"/>
  <c r="AD573" i="1" l="1"/>
  <c r="AC573" i="1"/>
  <c r="AF573" i="1"/>
  <c r="AE573" i="1" l="1"/>
  <c r="AB573" i="1" l="1"/>
  <c r="AG573" i="1"/>
  <c r="AD574" i="1" l="1"/>
  <c r="AC574" i="1"/>
  <c r="AF574" i="1" s="1"/>
  <c r="AE574" i="1" l="1"/>
  <c r="AG574" i="1" l="1"/>
  <c r="AB574" i="1"/>
  <c r="AD575" i="1" l="1"/>
  <c r="AC575" i="1"/>
  <c r="AF575" i="1" s="1"/>
  <c r="AE575" i="1" l="1"/>
  <c r="AB575" i="1" l="1"/>
  <c r="AG575" i="1"/>
  <c r="AD576" i="1" l="1"/>
  <c r="AC576" i="1"/>
  <c r="AF576" i="1" s="1"/>
  <c r="AE576" i="1" l="1"/>
  <c r="AG576" i="1" l="1"/>
  <c r="AB576" i="1"/>
  <c r="AD577" i="1" l="1"/>
  <c r="AC577" i="1"/>
  <c r="AF577" i="1" s="1"/>
  <c r="AE577" i="1" l="1"/>
  <c r="AB577" i="1" l="1"/>
  <c r="AG577" i="1"/>
  <c r="AD578" i="1" l="1"/>
  <c r="AC578" i="1"/>
  <c r="AF578" i="1" s="1"/>
  <c r="AE578" i="1" l="1"/>
  <c r="AG578" i="1" l="1"/>
  <c r="AB578" i="1"/>
  <c r="AD579" i="1" l="1"/>
  <c r="AC579" i="1"/>
  <c r="AF579" i="1" s="1"/>
  <c r="AE579" i="1" l="1"/>
  <c r="AB579" i="1" l="1"/>
  <c r="AG579" i="1"/>
  <c r="AD580" i="1" l="1"/>
  <c r="AC580" i="1"/>
  <c r="AF580" i="1" s="1"/>
  <c r="AE580" i="1" l="1"/>
  <c r="AG580" i="1" l="1"/>
  <c r="AB580" i="1"/>
  <c r="AD581" i="1" l="1"/>
  <c r="AC581" i="1"/>
  <c r="AF581" i="1" s="1"/>
  <c r="AE581" i="1" l="1"/>
  <c r="AB581" i="1" l="1"/>
  <c r="AG581" i="1"/>
  <c r="AC582" i="1" l="1"/>
  <c r="AF582" i="1" s="1"/>
  <c r="AD582" i="1"/>
  <c r="AE582" i="1" s="1"/>
  <c r="AG582" i="1" s="1"/>
  <c r="AB582" i="1" l="1"/>
  <c r="AD583" i="1" l="1"/>
  <c r="AC583" i="1"/>
  <c r="AF583" i="1" s="1"/>
  <c r="AE583" i="1" l="1"/>
  <c r="AG583" i="1" l="1"/>
  <c r="AB583" i="1"/>
  <c r="AD584" i="1" l="1"/>
  <c r="AC584" i="1"/>
  <c r="AF584" i="1" s="1"/>
  <c r="AE584" i="1" l="1"/>
  <c r="AB584" i="1" l="1"/>
  <c r="AG584" i="1"/>
  <c r="AD585" i="1" l="1"/>
  <c r="AC585" i="1"/>
  <c r="AF585" i="1" s="1"/>
  <c r="AE585" i="1" l="1"/>
  <c r="AG585" i="1" l="1"/>
  <c r="AB585" i="1"/>
  <c r="AD586" i="1" l="1"/>
  <c r="AC586" i="1"/>
  <c r="AF586" i="1" s="1"/>
  <c r="AE586" i="1" l="1"/>
  <c r="AB586" i="1" l="1"/>
  <c r="AG586" i="1"/>
  <c r="AD587" i="1" l="1"/>
  <c r="AC587" i="1"/>
  <c r="AF587" i="1" s="1"/>
  <c r="AE587" i="1" l="1"/>
  <c r="AG587" i="1" l="1"/>
  <c r="AB587" i="1"/>
  <c r="AD588" i="1" l="1"/>
  <c r="AC588" i="1"/>
  <c r="AF588" i="1" s="1"/>
  <c r="AE588" i="1" l="1"/>
  <c r="AB588" i="1" l="1"/>
  <c r="AG588" i="1"/>
  <c r="AD589" i="1" l="1"/>
  <c r="AC589" i="1"/>
  <c r="AF589" i="1" s="1"/>
  <c r="AE589" i="1" l="1"/>
  <c r="AG589" i="1" l="1"/>
  <c r="AB589" i="1"/>
  <c r="AD590" i="1" l="1"/>
  <c r="AC590" i="1"/>
  <c r="AF590" i="1" s="1"/>
  <c r="AE590" i="1" l="1"/>
  <c r="AB590" i="1" l="1"/>
  <c r="AG590" i="1"/>
  <c r="AD591" i="1" l="1"/>
  <c r="AC591" i="1"/>
  <c r="AF591" i="1" s="1"/>
  <c r="AE591" i="1" l="1"/>
  <c r="AG591" i="1" l="1"/>
  <c r="AB591" i="1"/>
  <c r="AD592" i="1" l="1"/>
  <c r="AC592" i="1"/>
  <c r="AF592" i="1" s="1"/>
  <c r="AE592" i="1" l="1"/>
  <c r="AB592" i="1" l="1"/>
  <c r="AG592" i="1"/>
  <c r="AD593" i="1" l="1"/>
  <c r="AC593" i="1"/>
  <c r="AF593" i="1" s="1"/>
  <c r="AE593" i="1" l="1"/>
  <c r="AG593" i="1" l="1"/>
  <c r="AB593" i="1"/>
  <c r="AD594" i="1" l="1"/>
  <c r="AC594" i="1"/>
  <c r="AF594" i="1" s="1"/>
  <c r="AE594" i="1" l="1"/>
  <c r="AB594" i="1" l="1"/>
  <c r="AG594" i="1"/>
  <c r="AD595" i="1" l="1"/>
  <c r="AC595" i="1"/>
  <c r="AF595" i="1" s="1"/>
  <c r="AE595" i="1" l="1"/>
  <c r="AG595" i="1" l="1"/>
  <c r="AB595" i="1"/>
  <c r="AD596" i="1" l="1"/>
  <c r="AC596" i="1"/>
  <c r="AF596" i="1" s="1"/>
  <c r="AE596" i="1" l="1"/>
  <c r="AG596" i="1" l="1"/>
  <c r="AB596" i="1"/>
  <c r="AD597" i="1" l="1"/>
  <c r="AC597" i="1"/>
  <c r="AF597" i="1" s="1"/>
  <c r="AE597" i="1" l="1"/>
  <c r="AB597" i="1" l="1"/>
  <c r="AG597" i="1"/>
  <c r="AC598" i="1" l="1"/>
  <c r="AF598" i="1" s="1"/>
  <c r="AD598" i="1"/>
  <c r="AE598" i="1" s="1"/>
  <c r="AG598" i="1" s="1"/>
  <c r="AB598" i="1" l="1"/>
  <c r="AD599" i="1" l="1"/>
  <c r="AC599" i="1"/>
  <c r="AF599" i="1" s="1"/>
  <c r="AE599" i="1" l="1"/>
  <c r="AG599" i="1" l="1"/>
  <c r="AB599" i="1"/>
  <c r="AD600" i="1" l="1"/>
  <c r="AC600" i="1"/>
  <c r="AF600" i="1" s="1"/>
  <c r="AE600" i="1" l="1"/>
  <c r="AB600" i="1" l="1"/>
  <c r="AG600" i="1"/>
  <c r="AD601" i="1" l="1"/>
  <c r="AC601" i="1"/>
  <c r="AF601" i="1" s="1"/>
  <c r="AE601" i="1" l="1"/>
  <c r="AG601" i="1" l="1"/>
  <c r="AB601" i="1"/>
  <c r="AD602" i="1" l="1"/>
  <c r="AC602" i="1"/>
  <c r="AF602" i="1" s="1"/>
  <c r="AE602" i="1" l="1"/>
  <c r="AB602" i="1" l="1"/>
  <c r="AG602" i="1"/>
  <c r="AD603" i="1" l="1"/>
  <c r="AC603" i="1"/>
  <c r="AF603" i="1" s="1"/>
  <c r="AE603" i="1" l="1"/>
  <c r="AG603" i="1" l="1"/>
  <c r="AB603" i="1"/>
  <c r="AD604" i="1" l="1"/>
  <c r="AC604" i="1"/>
  <c r="AF604" i="1" s="1"/>
  <c r="AE604" i="1" l="1"/>
  <c r="AB604" i="1" s="1"/>
  <c r="AD605" i="1"/>
  <c r="AC605" i="1"/>
  <c r="AF605" i="1" s="1"/>
  <c r="AG604" i="1"/>
  <c r="AE605" i="1" l="1"/>
  <c r="AB605" i="1" s="1"/>
  <c r="AD606" i="1" l="1"/>
  <c r="AC606" i="1"/>
  <c r="AF606" i="1" s="1"/>
  <c r="AG605" i="1"/>
  <c r="AE606" i="1" l="1"/>
  <c r="AB606" i="1" s="1"/>
  <c r="AD607" i="1" l="1"/>
  <c r="AC607" i="1"/>
  <c r="AF607" i="1" s="1"/>
  <c r="AG606" i="1"/>
  <c r="AE607" i="1" l="1"/>
  <c r="AB607" i="1" s="1"/>
  <c r="AD608" i="1" l="1"/>
  <c r="AC608" i="1"/>
  <c r="AF608" i="1" s="1"/>
  <c r="AG607" i="1"/>
  <c r="AE608" i="1" l="1"/>
  <c r="AB608" i="1" s="1"/>
  <c r="AX2" i="1" s="1"/>
  <c r="N92" i="1" l="1"/>
  <c r="N88" i="1"/>
  <c r="N84" i="1"/>
  <c r="N80" i="1"/>
  <c r="N76" i="1"/>
  <c r="BB40" i="1"/>
  <c r="BB36" i="1"/>
  <c r="BB29" i="1"/>
  <c r="D26" i="1"/>
  <c r="BB23" i="1"/>
  <c r="N74" i="1"/>
  <c r="BB26" i="1"/>
  <c r="BB20" i="1"/>
  <c r="N93" i="1"/>
  <c r="N89" i="1"/>
  <c r="N85" i="1"/>
  <c r="N81" i="1"/>
  <c r="N77" i="1"/>
  <c r="N72" i="1"/>
  <c r="N71" i="1"/>
  <c r="N70" i="1"/>
  <c r="N69" i="1"/>
  <c r="N68" i="1"/>
  <c r="N67" i="1"/>
  <c r="N66" i="1"/>
  <c r="N65" i="1"/>
  <c r="BB39" i="1"/>
  <c r="BB35" i="1"/>
  <c r="BB32" i="1"/>
  <c r="BB28" i="1"/>
  <c r="B26" i="1"/>
  <c r="D27" i="1"/>
  <c r="BB24" i="1"/>
  <c r="BB19" i="1"/>
  <c r="N94" i="1"/>
  <c r="N90" i="1"/>
  <c r="N86" i="1"/>
  <c r="N82" i="1"/>
  <c r="N78" i="1"/>
  <c r="BB38" i="1"/>
  <c r="BB34" i="1"/>
  <c r="BB31" i="1"/>
  <c r="BB33" i="1"/>
  <c r="BB21" i="1"/>
  <c r="N73" i="1"/>
  <c r="BB16" i="1"/>
  <c r="BB13" i="1"/>
  <c r="AX6" i="1"/>
  <c r="N83" i="1"/>
  <c r="AX12" i="1"/>
  <c r="AX7" i="1"/>
  <c r="N87" i="1"/>
  <c r="B27" i="1"/>
  <c r="BB11" i="1"/>
  <c r="BB27" i="1"/>
  <c r="BB22" i="1"/>
  <c r="BB17" i="1"/>
  <c r="N91" i="1"/>
  <c r="N75" i="1"/>
  <c r="BB25" i="1"/>
  <c r="BB10" i="1"/>
  <c r="N95" i="1"/>
  <c r="N79" i="1"/>
  <c r="BB37" i="1"/>
  <c r="BB30" i="1"/>
  <c r="BB15" i="1"/>
  <c r="BB18" i="1"/>
  <c r="BB14" i="1"/>
  <c r="BB12" i="1"/>
  <c r="AG608" i="1"/>
  <c r="D24" i="1" l="1"/>
  <c r="B24" i="1"/>
  <c r="B25" i="1"/>
  <c r="D25" i="1"/>
  <c r="AX11" i="1"/>
  <c r="H13" i="1" l="1"/>
  <c r="F18" i="1"/>
</calcChain>
</file>

<file path=xl/comments1.xml><?xml version="1.0" encoding="utf-8"?>
<comments xmlns="http://schemas.openxmlformats.org/spreadsheetml/2006/main">
  <authors>
    <author>OpenAI</author>
  </authors>
  <commentList>
    <comment ref="C10" authorId="0" shapeId="0">
      <text>
        <r>
          <rPr>
            <sz val="10"/>
            <rFont val="Arial"/>
            <family val="2"/>
          </rPr>
          <t>Campo editável pelo usuário.</t>
        </r>
      </text>
    </comment>
    <comment ref="C11" authorId="0" shapeId="0">
      <text>
        <r>
          <rPr>
            <sz val="10"/>
            <rFont val="Arial"/>
            <family val="2"/>
          </rPr>
          <t>Campo editável pelo usuário.</t>
        </r>
      </text>
    </comment>
    <comment ref="C12" authorId="0" shapeId="0">
      <text>
        <r>
          <rPr>
            <sz val="10"/>
            <rFont val="Arial"/>
            <family val="2"/>
          </rPr>
          <t>Campo editável pelo usuário.</t>
        </r>
      </text>
    </comment>
    <comment ref="C13" authorId="0" shapeId="0">
      <text>
        <r>
          <rPr>
            <sz val="10"/>
            <rFont val="Arial"/>
            <family val="2"/>
          </rPr>
          <t>Campo editável pelo usuário.</t>
        </r>
      </text>
    </comment>
  </commentList>
</comments>
</file>

<file path=xl/sharedStrings.xml><?xml version="1.0" encoding="utf-8"?>
<sst xmlns="http://schemas.openxmlformats.org/spreadsheetml/2006/main" count="62" uniqueCount="50">
  <si>
    <t>Simulador Premium de Financiamento
Visual executivo em uma única aba · comparação com amortização extra</t>
  </si>
  <si>
    <t>Parâmetros da simulação</t>
  </si>
  <si>
    <t>Parcela Base</t>
  </si>
  <si>
    <t>Parcela c/ Extra</t>
  </si>
  <si>
    <t>Juros Totais</t>
  </si>
  <si>
    <t>Mês</t>
  </si>
  <si>
    <t>Saldo Final</t>
  </si>
  <si>
    <t>Juros</t>
  </si>
  <si>
    <t>Pagamento</t>
  </si>
  <si>
    <t>Amortização</t>
  </si>
  <si>
    <t>Juros Acum.</t>
  </si>
  <si>
    <t>Principal Acum.</t>
  </si>
  <si>
    <t>Ano</t>
  </si>
  <si>
    <t>Saldo sem extra</t>
  </si>
  <si>
    <t>Saldo com extra</t>
  </si>
  <si>
    <t>Juros acum.</t>
  </si>
  <si>
    <t>Principal acum.</t>
  </si>
  <si>
    <t>Valor do Empréstimo</t>
  </si>
  <si>
    <t>Taxa de Juros Anual (%)</t>
  </si>
  <si>
    <t>sem amortização extra</t>
  </si>
  <si>
    <t>parcela efetiva</t>
  </si>
  <si>
    <t>cenário com extra</t>
  </si>
  <si>
    <t>Prazo (anos)</t>
  </si>
  <si>
    <t>Pagamento Total</t>
  </si>
  <si>
    <t>Economia</t>
  </si>
  <si>
    <t>Prazo c/ Extra</t>
  </si>
  <si>
    <t>Amortização Extra Mensal</t>
  </si>
  <si>
    <t>Edite apenas os campos em azul</t>
  </si>
  <si>
    <t>valor desembolsado</t>
  </si>
  <si>
    <t>vs. plano original</t>
  </si>
  <si>
    <t>prazo estimado</t>
  </si>
  <si>
    <t>Modelo protegido para preservar o dashboard</t>
  </si>
  <si>
    <t>SMART INSIGHT</t>
  </si>
  <si>
    <t>Comparativo de Cenários</t>
  </si>
  <si>
    <t>Projeção Visual</t>
  </si>
  <si>
    <t>Indicador</t>
  </si>
  <si>
    <t>Sem extra</t>
  </si>
  <si>
    <t>Com extra</t>
  </si>
  <si>
    <t>Ganho</t>
  </si>
  <si>
    <t>Parcela mensal</t>
  </si>
  <si>
    <t>Total de juros</t>
  </si>
  <si>
    <t>Pagamento total</t>
  </si>
  <si>
    <t>Prazo (meses)</t>
  </si>
  <si>
    <t>Distribuição do Pagamento</t>
  </si>
  <si>
    <t>Componente</t>
  </si>
  <si>
    <t>Valor</t>
  </si>
  <si>
    <t>Principal</t>
  </si>
  <si>
    <t>UPGRADE PREMIUM</t>
  </si>
  <si>
    <t>Adquira a versão premium desta planilha com acompanhamento diário de gastos,
metas mensais e controle total do seu dinheiro.</t>
  </si>
  <si>
    <t>OFERTA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</si>
</sst>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R$-416]\ #,##0.00;[Red]\([$R$-416]\ #,##0.00\);\-"/>
    <numFmt numFmtId="165" formatCode="[$R$-416]\ #,##0;[Red]\([$R$-416]\ #,##0\);\-"/>
    <numFmt numFmtId="166" formatCode="0.0"/>
    <numFmt numFmtId="167" formatCode="0.0&quot; anos&quot;"/>
    <numFmt numFmtId="168" formatCode="0.0%"/>
    <numFmt numFmtId="169" formatCode="0&quot; meses&quot;"/>
  </numFmts>
  <fonts count="27">
    <font>
      <sz val="11"/>
      <color theme="1"/>
      <name val="Calibri"/>
      <family val="2"/>
      <charset val="1"/>
    </font>
    <font>
      <sz val="11"/>
      <color rgb="FF0F172A"/>
      <name val="Aptos"/>
      <charset val="1"/>
    </font>
    <font>
      <b/>
      <sz val="15"/>
      <color rgb="FFFFFFFF"/>
      <name val="Aptos Display"/>
      <charset val="1"/>
    </font>
    <font>
      <b/>
      <sz val="12"/>
      <color rgb="FF0F172A"/>
      <name val="Aptos"/>
      <charset val="1"/>
    </font>
    <font>
      <b/>
      <sz val="9"/>
      <color rgb="FF2563EB"/>
      <name val="Aptos"/>
      <charset val="1"/>
    </font>
    <font>
      <b/>
      <sz val="9"/>
      <color rgb="FF64748B"/>
      <name val="Aptos"/>
      <charset val="1"/>
    </font>
    <font>
      <b/>
      <sz val="14"/>
      <color rgb="FF2563EB"/>
      <name val="Aptos Display"/>
      <charset val="1"/>
    </font>
    <font>
      <b/>
      <sz val="14"/>
      <color rgb="FF0F172A"/>
      <name val="Aptos Display"/>
      <charset val="1"/>
    </font>
    <font>
      <b/>
      <sz val="10"/>
      <color rgb="FF64748B"/>
      <name val="Aptos"/>
      <charset val="1"/>
    </font>
    <font>
      <b/>
      <sz val="12"/>
      <color rgb="FF0000FF"/>
      <name val="Aptos"/>
      <charset val="1"/>
    </font>
    <font>
      <sz val="8"/>
      <color rgb="FF64748B"/>
      <name val="Aptos"/>
      <charset val="1"/>
    </font>
    <font>
      <b/>
      <sz val="9"/>
      <color rgb="FF16A34A"/>
      <name val="Aptos"/>
      <charset val="1"/>
    </font>
    <font>
      <b/>
      <sz val="9"/>
      <color rgb="FF92400E"/>
      <name val="Aptos"/>
      <charset val="1"/>
    </font>
    <font>
      <b/>
      <sz val="14"/>
      <color rgb="FF16A34A"/>
      <name val="Aptos Display"/>
      <charset val="1"/>
    </font>
    <font>
      <b/>
      <sz val="14"/>
      <color rgb="FF92400E"/>
      <name val="Aptos Display"/>
      <charset val="1"/>
    </font>
    <font>
      <i/>
      <sz val="9"/>
      <color rgb="FF64748B"/>
      <name val="Aptos"/>
      <charset val="1"/>
    </font>
    <font>
      <b/>
      <sz val="10"/>
      <color rgb="FFFFFFFF"/>
      <name val="Aptos"/>
      <charset val="1"/>
    </font>
    <font>
      <sz val="10"/>
      <color rgb="FF0F172A"/>
      <name val="Aptos"/>
      <charset val="1"/>
    </font>
    <font>
      <b/>
      <sz val="10"/>
      <color rgb="FF0F172A"/>
      <name val="Aptos"/>
      <charset val="1"/>
    </font>
    <font>
      <b/>
      <sz val="10"/>
      <color rgb="FF16A34A"/>
      <name val="Aptos"/>
      <charset val="1"/>
    </font>
    <font>
      <b/>
      <sz val="10"/>
      <color rgb="FFEAB308"/>
      <name val="Aptos"/>
      <charset val="1"/>
    </font>
    <font>
      <b/>
      <sz val="13"/>
      <color rgb="FFFFFFFF"/>
      <name val="Aptos Display"/>
      <charset val="1"/>
    </font>
    <font>
      <sz val="10"/>
      <color rgb="FFCBD5E1"/>
      <name val="Aptos"/>
      <charset val="1"/>
    </font>
    <font>
      <sz val="9"/>
      <color rgb="FFFFFFFF"/>
      <name val="Aptos"/>
      <charset val="1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u/>
      <sz val="28"/>
      <color theme="1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EAB308"/>
        <bgColor rgb="FFFF9900"/>
      </patternFill>
    </fill>
    <fill>
      <patternFill patternType="solid">
        <fgColor rgb="FFF3F5F9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8F0FF"/>
        <bgColor rgb="FFF3F5F9"/>
      </patternFill>
    </fill>
    <fill>
      <patternFill patternType="solid">
        <fgColor rgb="FFEAF9F0"/>
        <bgColor rgb="FFF3F5F9"/>
      </patternFill>
    </fill>
    <fill>
      <patternFill patternType="solid">
        <fgColor rgb="FFFFF7D6"/>
        <bgColor rgb="FFF8FAFC"/>
      </patternFill>
    </fill>
    <fill>
      <patternFill patternType="solid">
        <fgColor rgb="FF2563EB"/>
        <bgColor rgb="FF0066CC"/>
      </patternFill>
    </fill>
    <fill>
      <patternFill patternType="solid">
        <fgColor rgb="FFF8FAFC"/>
        <bgColor rgb="FFF3F5F9"/>
      </patternFill>
    </fill>
  </fills>
  <borders count="11">
    <border>
      <left/>
      <right/>
      <top/>
      <bottom/>
      <diagonal/>
    </border>
    <border>
      <left style="medium">
        <color rgb="FFD7DEE7"/>
      </left>
      <right style="medium">
        <color rgb="FFD7DEE7"/>
      </right>
      <top style="medium">
        <color rgb="FFD7DEE7"/>
      </top>
      <bottom style="medium">
        <color rgb="FFD7DEE7"/>
      </bottom>
      <diagonal/>
    </border>
    <border>
      <left style="thin">
        <color rgb="FFD7DEE7"/>
      </left>
      <right style="thin">
        <color rgb="FFD7DEE7"/>
      </right>
      <top style="thin">
        <color rgb="FFD7DEE7"/>
      </top>
      <bottom style="thin">
        <color rgb="FFD7DEE7"/>
      </bottom>
      <diagonal/>
    </border>
    <border>
      <left style="medium">
        <color rgb="FFD7DEE7"/>
      </left>
      <right/>
      <top style="medium">
        <color rgb="FFD7DEE7"/>
      </top>
      <bottom/>
      <diagonal/>
    </border>
    <border>
      <left/>
      <right/>
      <top style="medium">
        <color rgb="FFD7DEE7"/>
      </top>
      <bottom/>
      <diagonal/>
    </border>
    <border>
      <left/>
      <right style="medium">
        <color rgb="FFD7DEE7"/>
      </right>
      <top style="medium">
        <color rgb="FFD7DEE7"/>
      </top>
      <bottom/>
      <diagonal/>
    </border>
    <border>
      <left style="medium">
        <color rgb="FFD7DEE7"/>
      </left>
      <right/>
      <top/>
      <bottom/>
      <diagonal/>
    </border>
    <border>
      <left/>
      <right style="medium">
        <color rgb="FFD7DEE7"/>
      </right>
      <top/>
      <bottom/>
      <diagonal/>
    </border>
    <border>
      <left style="medium">
        <color rgb="FFD7DEE7"/>
      </left>
      <right/>
      <top/>
      <bottom style="medium">
        <color rgb="FFD7DEE7"/>
      </bottom>
      <diagonal/>
    </border>
    <border>
      <left/>
      <right/>
      <top/>
      <bottom style="medium">
        <color rgb="FFD7DEE7"/>
      </bottom>
      <diagonal/>
    </border>
    <border>
      <left/>
      <right style="medium">
        <color rgb="FFD7DEE7"/>
      </right>
      <top/>
      <bottom style="medium">
        <color rgb="FFD7DEE7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61">
    <xf numFmtId="0" fontId="0" fillId="0" borderId="0" xfId="0"/>
    <xf numFmtId="167" fontId="14" fillId="8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1" fontId="9" fillId="6" borderId="2" xfId="0" applyNumberFormat="1" applyFont="1" applyFill="1" applyBorder="1" applyAlignment="1" applyProtection="1">
      <alignment horizontal="center" vertical="center"/>
      <protection locked="0"/>
    </xf>
    <xf numFmtId="166" fontId="9" fillId="6" borderId="2" xfId="0" applyNumberFormat="1" applyFont="1" applyFill="1" applyBorder="1" applyAlignment="1" applyProtection="1">
      <alignment horizontal="center" vertical="center"/>
      <protection locked="0"/>
    </xf>
    <xf numFmtId="165" fontId="9" fillId="6" borderId="2" xfId="0" applyNumberFormat="1" applyFont="1" applyFill="1" applyBorder="1" applyAlignment="1" applyProtection="1">
      <alignment horizontal="center" vertical="center"/>
      <protection locked="0"/>
    </xf>
    <xf numFmtId="164" fontId="7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left" vertical="center" wrapText="1"/>
    </xf>
    <xf numFmtId="1" fontId="0" fillId="0" borderId="0" xfId="0" applyNumberFormat="1"/>
    <xf numFmtId="0" fontId="1" fillId="4" borderId="0" xfId="0" applyFont="1" applyFill="1" applyAlignment="1">
      <alignment vertical="center"/>
    </xf>
    <xf numFmtId="164" fontId="0" fillId="0" borderId="0" xfId="0" applyNumberFormat="1"/>
    <xf numFmtId="0" fontId="1" fillId="5" borderId="1" xfId="0" applyFont="1" applyFill="1" applyBorder="1" applyAlignment="1">
      <alignment vertical="center"/>
    </xf>
    <xf numFmtId="165" fontId="0" fillId="0" borderId="0" xfId="0" applyNumberFormat="1"/>
    <xf numFmtId="0" fontId="8" fillId="5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168" fontId="0" fillId="0" borderId="0" xfId="0" applyNumberFormat="1"/>
    <xf numFmtId="0" fontId="15" fillId="5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6" fillId="9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2" xfId="0" applyNumberFormat="1" applyFont="1" applyFill="1" applyBorder="1" applyAlignment="1">
      <alignment horizontal="center" vertical="center"/>
    </xf>
    <xf numFmtId="164" fontId="19" fillId="5" borderId="2" xfId="0" applyNumberFormat="1" applyFont="1" applyFill="1" applyBorder="1" applyAlignment="1">
      <alignment horizontal="center" vertical="center"/>
    </xf>
    <xf numFmtId="169" fontId="17" fillId="5" borderId="2" xfId="0" applyNumberFormat="1" applyFont="1" applyFill="1" applyBorder="1" applyAlignment="1">
      <alignment horizontal="center" vertical="center"/>
    </xf>
    <xf numFmtId="169" fontId="18" fillId="5" borderId="2" xfId="0" applyNumberFormat="1" applyFont="1" applyFill="1" applyBorder="1" applyAlignment="1">
      <alignment horizontal="center" vertical="center"/>
    </xf>
    <xf numFmtId="169" fontId="19" fillId="5" borderId="2" xfId="0" applyNumberFormat="1" applyFont="1" applyFill="1" applyBorder="1" applyAlignment="1">
      <alignment horizontal="center" vertical="center"/>
    </xf>
    <xf numFmtId="167" fontId="17" fillId="5" borderId="2" xfId="0" applyNumberFormat="1" applyFont="1" applyFill="1" applyBorder="1" applyAlignment="1">
      <alignment horizontal="center" vertical="center"/>
    </xf>
    <xf numFmtId="167" fontId="18" fillId="5" borderId="2" xfId="0" applyNumberFormat="1" applyFont="1" applyFill="1" applyBorder="1" applyAlignment="1">
      <alignment horizontal="center" vertical="center"/>
    </xf>
    <xf numFmtId="167" fontId="19" fillId="5" borderId="2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3" fillId="4" borderId="0" xfId="0" applyFont="1" applyFill="1"/>
    <xf numFmtId="165" fontId="23" fillId="4" borderId="0" xfId="0" applyNumberFormat="1" applyFont="1" applyFill="1"/>
    <xf numFmtId="0" fontId="8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vertical="center" wrapText="1"/>
    </xf>
    <xf numFmtId="0" fontId="26" fillId="3" borderId="3" xfId="1" applyFont="1" applyFill="1" applyBorder="1" applyAlignment="1">
      <alignment horizontal="center" vertical="center"/>
    </xf>
    <xf numFmtId="0" fontId="26" fillId="3" borderId="4" xfId="1" applyFont="1" applyFill="1" applyBorder="1" applyAlignment="1">
      <alignment horizontal="center" vertical="center"/>
    </xf>
    <xf numFmtId="0" fontId="26" fillId="3" borderId="5" xfId="1" applyFont="1" applyFill="1" applyBorder="1" applyAlignment="1">
      <alignment horizontal="center" vertical="center"/>
    </xf>
    <xf numFmtId="0" fontId="26" fillId="3" borderId="6" xfId="1" applyFont="1" applyFill="1" applyBorder="1" applyAlignment="1">
      <alignment horizontal="center" vertical="center"/>
    </xf>
    <xf numFmtId="0" fontId="26" fillId="3" borderId="0" xfId="1" applyFont="1" applyFill="1" applyBorder="1" applyAlignment="1">
      <alignment horizontal="center" vertical="center"/>
    </xf>
    <xf numFmtId="0" fontId="26" fillId="3" borderId="7" xfId="1" applyFont="1" applyFill="1" applyBorder="1" applyAlignment="1">
      <alignment horizontal="center" vertical="center"/>
    </xf>
    <xf numFmtId="0" fontId="26" fillId="3" borderId="8" xfId="1" applyFont="1" applyFill="1" applyBorder="1" applyAlignment="1">
      <alignment horizontal="center" vertical="center"/>
    </xf>
    <xf numFmtId="0" fontId="26" fillId="3" borderId="9" xfId="1" applyFont="1" applyFill="1" applyBorder="1" applyAlignment="1">
      <alignment horizontal="center" vertical="center"/>
    </xf>
    <xf numFmtId="0" fontId="26" fillId="3" borderId="10" xfId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7D6"/>
      <rgbColor rgb="FFEAF9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F"/>
      <rgbColor rgb="FFF3F5F9"/>
      <rgbColor rgb="FFF8FAFC"/>
      <rgbColor rgb="FF99CCFF"/>
      <rgbColor rgb="FFFF99CC"/>
      <rgbColor rgb="FFCC99FF"/>
      <rgbColor rgb="FFD7DEE7"/>
      <rgbColor rgb="FF2563EB"/>
      <rgbColor rgb="FF33CCCC"/>
      <rgbColor rgb="FF99CC00"/>
      <rgbColor rgb="FFEAB308"/>
      <rgbColor rgb="FFFF9900"/>
      <rgbColor rgb="FFFF6600"/>
      <rgbColor rgb="FF64748B"/>
      <rgbColor rgb="FF4F81BD"/>
      <rgbColor rgb="FF003366"/>
      <rgbColor rgb="FF16A34A"/>
      <rgbColor rgb="FF0F172A"/>
      <rgbColor rgb="FF333300"/>
      <rgbColor rgb="FF92400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Composição do pagamento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Premium'!$B$32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Premium'!$A$33:$A$34</c:f>
              <c:strCache>
                <c:ptCount val="2"/>
                <c:pt idx="0">
                  <c:v>Principal</c:v>
                </c:pt>
                <c:pt idx="1">
                  <c:v>Juros</c:v>
                </c:pt>
              </c:strCache>
            </c:strRef>
          </c:cat>
          <c:val>
            <c:numRef>
              <c:f>'Dashboard Premium'!$B$33:$B$34</c:f>
              <c:numCache>
                <c:formatCode>[$R$-416]\ #,##0.00;[Red]\([$R$-416]\ #,##0.00\);\-</c:formatCode>
                <c:ptCount val="2"/>
                <c:pt idx="0">
                  <c:v>280000</c:v>
                </c:pt>
                <c:pt idx="1">
                  <c:v>250058.53981534846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Saldo devedor: sem extra vs. com extra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Premium'!$N$63</c:f>
              <c:strCache>
                <c:ptCount val="1"/>
                <c:pt idx="0">
                  <c:v>Saldo sem extra</c:v>
                </c:pt>
              </c:strCache>
            </c:strRef>
          </c:tx>
          <c:spPr>
            <a:ln w="25560">
              <a:solidFill>
                <a:srgbClr val="2563EB"/>
              </a:solidFill>
              <a:round/>
            </a:ln>
          </c:spPr>
          <c:marker>
            <c:symbol val="circle"/>
            <c:size val="5"/>
            <c:spPr>
              <a:solidFill>
                <a:srgbClr val="2563E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'Dashboard Premium'!$M$64:$M$95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'Dashboard Premium'!$N$64:$N$95</c:f>
              <c:numCache>
                <c:formatCode>General</c:formatCode>
                <c:ptCount val="32"/>
                <c:pt idx="0" formatCode="[$R$-416]\ #,##0;[Red]\([$R$-416]\ #,##0\);\-">
                  <c:v>280000</c:v>
                </c:pt>
                <c:pt idx="1">
                  <c:v>278087.04812438274</c:v>
                </c:pt>
                <c:pt idx="2">
                  <c:v>275994.64816792001</c:v>
                </c:pt>
                <c:pt idx="3">
                  <c:v>273705.96666285448</c:v>
                </c:pt>
                <c:pt idx="4">
                  <c:v>271202.59104604181</c:v>
                </c:pt>
                <c:pt idx="5">
                  <c:v>268464.38152891077</c:v>
                </c:pt>
                <c:pt idx="6">
                  <c:v>265469.30907180457</c:v>
                </c:pt>
                <c:pt idx="7">
                  <c:v>262193.27815919748</c:v>
                </c:pt>
                <c:pt idx="8">
                  <c:v>258609.93295000438</c:v>
                </c:pt>
                <c:pt idx="9">
                  <c:v>254690.44524345273</c:v>
                </c:pt>
                <c:pt idx="10">
                  <c:v>250403.28255468991</c:v>
                </c:pt>
                <c:pt idx="11">
                  <c:v>245713.95443428337</c:v>
                </c:pt>
                <c:pt idx="12">
                  <c:v>240584.73499074031</c:v>
                </c:pt>
                <c:pt idx="13">
                  <c:v>234974.35938372475</c:v>
                </c:pt>
                <c:pt idx="14">
                  <c:v>228837.69184624605</c:v>
                </c:pt>
                <c:pt idx="15">
                  <c:v>222125.36256503829</c:v>
                </c:pt>
                <c:pt idx="16">
                  <c:v>214783.37049781432</c:v>
                </c:pt>
                <c:pt idx="17">
                  <c:v>206752.64893203913</c:v>
                </c:pt>
                <c:pt idx="18">
                  <c:v>197968.59029011906</c:v>
                </c:pt>
                <c:pt idx="19">
                  <c:v>188360.52635804052</c:v>
                </c:pt>
                <c:pt idx="20">
                  <c:v>177851.15975586916</c:v>
                </c:pt>
                <c:pt idx="21">
                  <c:v>166355.94207626116</c:v>
                </c:pt>
                <c:pt idx="22">
                  <c:v>153782.39368807644</c:v>
                </c:pt>
                <c:pt idx="23">
                  <c:v>140029.35973288014</c:v>
                </c:pt>
                <c:pt idx="24">
                  <c:v>124986.19632878316</c:v>
                </c:pt>
                <c:pt idx="25">
                  <c:v>108531.88043459019</c:v>
                </c:pt>
                <c:pt idx="26">
                  <c:v>90534.036213064654</c:v>
                </c:pt>
                <c:pt idx="27">
                  <c:v>70847.870060352157</c:v>
                </c:pt>
                <c:pt idx="28">
                  <c:v>49315.005733818209</c:v>
                </c:pt>
                <c:pt idx="29">
                  <c:v>25762.210206841919</c:v>
                </c:pt>
                <c:pt idx="30">
                  <c:v>9.7134034149348736E-10</c:v>
                </c:pt>
                <c:pt idx="3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'Dashboard Premium'!$O$63</c:f>
              <c:strCache>
                <c:ptCount val="1"/>
                <c:pt idx="0">
                  <c:v>Saldo com extra</c:v>
                </c:pt>
              </c:strCache>
            </c:strRef>
          </c:tx>
          <c:spPr>
            <a:ln w="25560">
              <a:solidFill>
                <a:srgbClr val="16A34A"/>
              </a:solidFill>
              <a:round/>
            </a:ln>
          </c:spPr>
          <c:marker>
            <c:symbol val="circle"/>
            <c:size val="5"/>
            <c:spPr>
              <a:solidFill>
                <a:srgbClr val="16A34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'Dashboard Premium'!$M$64:$M$95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'Dashboard Premium'!$O$64:$O$95</c:f>
              <c:numCache>
                <c:formatCode>General</c:formatCode>
                <c:ptCount val="32"/>
                <c:pt idx="0" formatCode="[$R$-416]\ #,##0;[Red]\([$R$-416]\ #,##0\);\-">
                  <c:v>280000</c:v>
                </c:pt>
                <c:pt idx="1">
                  <c:v>271833.25494631723</c:v>
                </c:pt>
                <c:pt idx="2">
                  <c:v>262900.41287507856</c:v>
                </c:pt>
                <c:pt idx="3">
                  <c:v>253129.6086017522</c:v>
                </c:pt>
                <c:pt idx="4">
                  <c:v>242442.23549179471</c:v>
                </c:pt>
                <c:pt idx="5">
                  <c:v>230752.31306613982</c:v>
                </c:pt>
                <c:pt idx="6">
                  <c:v>217965.79528371972</c:v>
                </c:pt>
                <c:pt idx="7">
                  <c:v>203979.813936116</c:v>
                </c:pt>
                <c:pt idx="8">
                  <c:v>188681.85106740938</c:v>
                </c:pt>
                <c:pt idx="9">
                  <c:v>171948.83376130342</c:v>
                </c:pt>
                <c:pt idx="10">
                  <c:v>153646.1440130368</c:v>
                </c:pt>
                <c:pt idx="11">
                  <c:v>133626.53572045083</c:v>
                </c:pt>
                <c:pt idx="12">
                  <c:v>111728.95008134909</c:v>
                </c:pt>
                <c:pt idx="13">
                  <c:v>87777.21986695852</c:v>
                </c:pt>
                <c:pt idx="14">
                  <c:v>61578.652147303626</c:v>
                </c:pt>
                <c:pt idx="15">
                  <c:v>32922.478066444739</c:v>
                </c:pt>
                <c:pt idx="16">
                  <c:v>1578.1571959408493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-375903712"/>
        <c:axId val="-375895008"/>
      </c:lineChart>
      <c:catAx>
        <c:axId val="-3759037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Anos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-375895008"/>
        <c:crosses val="autoZero"/>
        <c:auto val="1"/>
        <c:lblAlgn val="ctr"/>
        <c:lblOffset val="100"/>
        <c:noMultiLvlLbl val="0"/>
      </c:catAx>
      <c:valAx>
        <c:axId val="-3758950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[$R$-416]\ #,##0;[Red]\([$R$-416]\ 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-3759037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3</xdr:col>
      <xdr:colOff>277920</xdr:colOff>
      <xdr:row>41</xdr:row>
      <xdr:rowOff>47520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0</xdr:rowOff>
    </xdr:from>
    <xdr:to>
      <xdr:col>9</xdr:col>
      <xdr:colOff>756720</xdr:colOff>
      <xdr:row>35</xdr:row>
      <xdr:rowOff>166680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ay.hotmart.com/C105023977W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I608"/>
  <sheetViews>
    <sheetView showGridLines="0" tabSelected="1" zoomScale="90" zoomScaleNormal="90" workbookViewId="0">
      <selection activeCell="O10" sqref="O10"/>
    </sheetView>
  </sheetViews>
  <sheetFormatPr defaultColWidth="8.6640625" defaultRowHeight="15" customHeight="1"/>
  <cols>
    <col min="1" max="1" width="2.77734375" customWidth="1"/>
    <col min="2" max="2" width="15" customWidth="1"/>
    <col min="3" max="4" width="14" customWidth="1"/>
    <col min="5" max="5" width="2.21875" customWidth="1"/>
    <col min="6" max="11" width="18" customWidth="1"/>
    <col min="12" max="12" width="8.6640625" hidden="1" customWidth="1"/>
    <col min="13" max="13" width="12" customWidth="1"/>
    <col min="14" max="15" width="14" customWidth="1"/>
    <col min="27" max="61" width="13" hidden="1" customWidth="1"/>
  </cols>
  <sheetData>
    <row r="1" spans="1:57" ht="27.75" customHeight="1" thickBot="1">
      <c r="A1" s="14"/>
      <c r="B1" s="13" t="s">
        <v>0</v>
      </c>
      <c r="C1" s="13"/>
      <c r="D1" s="13"/>
      <c r="E1" s="13"/>
      <c r="F1" s="13"/>
      <c r="G1" s="13"/>
      <c r="H1" s="13"/>
      <c r="I1" s="49" t="s">
        <v>47</v>
      </c>
      <c r="J1" s="49"/>
      <c r="K1" s="49"/>
      <c r="L1" s="49"/>
    </row>
    <row r="2" spans="1:57" ht="25.5" customHeight="1" thickBot="1">
      <c r="A2" s="14"/>
      <c r="B2" s="13"/>
      <c r="C2" s="13"/>
      <c r="D2" s="13"/>
      <c r="E2" s="13"/>
      <c r="F2" s="13"/>
      <c r="G2" s="13"/>
      <c r="H2" s="13"/>
      <c r="I2" s="50" t="s">
        <v>48</v>
      </c>
      <c r="J2" s="50"/>
      <c r="K2" s="50"/>
      <c r="L2" s="50"/>
      <c r="AX2" s="16">
        <f>MATCH(0,AB9:AB608,0)</f>
        <v>361</v>
      </c>
    </row>
    <row r="3" spans="1:57" ht="25.5" customHeight="1" thickBot="1">
      <c r="A3" s="14"/>
      <c r="B3" s="15"/>
      <c r="C3" s="15"/>
      <c r="D3" s="15"/>
      <c r="E3" s="15"/>
      <c r="F3" s="15"/>
      <c r="G3" s="15"/>
      <c r="H3" s="15"/>
      <c r="I3" s="50"/>
      <c r="J3" s="50"/>
      <c r="K3" s="50"/>
      <c r="L3" s="50"/>
      <c r="AX3" s="16"/>
    </row>
    <row r="4" spans="1:57" ht="25.5" customHeight="1" thickBot="1">
      <c r="A4" s="14"/>
      <c r="B4" s="15"/>
      <c r="C4" s="15"/>
      <c r="D4" s="15"/>
      <c r="E4" s="15"/>
      <c r="F4" s="15"/>
      <c r="G4" s="15"/>
      <c r="H4" s="15"/>
      <c r="I4" s="50"/>
      <c r="J4" s="50"/>
      <c r="K4" s="50"/>
      <c r="L4" s="50"/>
      <c r="AX4" s="16"/>
    </row>
    <row r="5" spans="1:57" ht="25.5" customHeight="1" thickBot="1">
      <c r="A5" s="14"/>
      <c r="B5" s="15"/>
      <c r="C5" s="15"/>
      <c r="D5" s="15"/>
      <c r="E5" s="15"/>
      <c r="F5" s="15"/>
      <c r="G5" s="15"/>
      <c r="H5" s="15"/>
      <c r="I5" s="52" t="s">
        <v>49</v>
      </c>
      <c r="J5" s="53"/>
      <c r="K5" s="54"/>
      <c r="L5" s="51"/>
      <c r="AX5" s="16"/>
    </row>
    <row r="6" spans="1:57" ht="21" customHeight="1" thickBot="1">
      <c r="A6" s="15"/>
      <c r="B6" s="15"/>
      <c r="C6" s="15"/>
      <c r="D6" s="15"/>
      <c r="E6" s="15"/>
      <c r="F6" s="15"/>
      <c r="G6" s="15"/>
      <c r="H6" s="15"/>
      <c r="I6" s="55"/>
      <c r="J6" s="56"/>
      <c r="K6" s="57"/>
      <c r="L6" s="51"/>
      <c r="AA6">
        <f>IF($C$11&lt;=0,0,$C$11/100/12)</f>
        <v>7.4999999999999997E-3</v>
      </c>
      <c r="AB6">
        <f>MAX(1,$C$12*12)</f>
        <v>360</v>
      </c>
      <c r="AC6" s="18">
        <f>IF(OR($C$10&lt;=0,$C$12&lt;=0),0,IF($C$11=0,$C$10/($C$12*12),-PMT($AA$6,$AB$6,$C$10)))</f>
        <v>2252.9433274453913</v>
      </c>
      <c r="AD6" s="18">
        <f>MAX($AC$6+$C$13,0)</f>
        <v>2752.9433274453913</v>
      </c>
      <c r="AX6" s="18">
        <f>SUM(AC9:INDEX(AC:AC,5+$AX$2))</f>
        <v>531009.40885782032</v>
      </c>
    </row>
    <row r="7" spans="1:57" ht="21" customHeight="1" thickBot="1">
      <c r="A7" s="15"/>
      <c r="B7" s="15"/>
      <c r="C7" s="15"/>
      <c r="D7" s="15"/>
      <c r="E7" s="15"/>
      <c r="F7" s="15"/>
      <c r="G7" s="15"/>
      <c r="H7" s="15"/>
      <c r="I7" s="58"/>
      <c r="J7" s="59"/>
      <c r="K7" s="60"/>
      <c r="L7" s="44"/>
      <c r="AX7" s="18">
        <f>SUM(AD9:INDEX(AD:AD,5+$AX$2))</f>
        <v>806553.71122545714</v>
      </c>
    </row>
    <row r="8" spans="1:57" ht="25.5" customHeight="1" thickBot="1">
      <c r="A8" s="12" t="s">
        <v>1</v>
      </c>
      <c r="B8" s="12"/>
      <c r="C8" s="12"/>
      <c r="D8" s="12"/>
      <c r="E8" s="17"/>
      <c r="F8" s="11" t="s">
        <v>2</v>
      </c>
      <c r="G8" s="11"/>
      <c r="H8" s="10" t="s">
        <v>3</v>
      </c>
      <c r="I8" s="10"/>
      <c r="J8" s="10" t="s">
        <v>4</v>
      </c>
      <c r="K8" s="10"/>
      <c r="AA8" t="s">
        <v>5</v>
      </c>
      <c r="AB8" t="s">
        <v>6</v>
      </c>
      <c r="AC8" t="s">
        <v>7</v>
      </c>
      <c r="AD8" t="s">
        <v>8</v>
      </c>
      <c r="AE8" t="s">
        <v>9</v>
      </c>
      <c r="AF8" t="s">
        <v>10</v>
      </c>
      <c r="AG8" t="s">
        <v>11</v>
      </c>
      <c r="AO8" t="s">
        <v>5</v>
      </c>
      <c r="AP8" t="s">
        <v>6</v>
      </c>
      <c r="AQ8" t="s">
        <v>7</v>
      </c>
      <c r="AR8" t="s">
        <v>8</v>
      </c>
      <c r="AS8" t="s">
        <v>9</v>
      </c>
      <c r="AT8" t="s">
        <v>10</v>
      </c>
      <c r="AU8" t="s">
        <v>11</v>
      </c>
      <c r="AX8" s="16">
        <f>MATCH(0,AP9:AP608,0)</f>
        <v>193</v>
      </c>
      <c r="BA8" t="s">
        <v>12</v>
      </c>
      <c r="BB8" t="s">
        <v>13</v>
      </c>
      <c r="BC8" t="s">
        <v>14</v>
      </c>
      <c r="BD8" t="s">
        <v>15</v>
      </c>
      <c r="BE8" t="s">
        <v>16</v>
      </c>
    </row>
    <row r="9" spans="1:57" ht="27.75" customHeight="1" thickBot="1">
      <c r="A9" s="19"/>
      <c r="B9" s="19"/>
      <c r="C9" s="19"/>
      <c r="D9" s="19"/>
      <c r="E9" s="17"/>
      <c r="F9" s="9">
        <f>$AC$6</f>
        <v>2252.9433274453913</v>
      </c>
      <c r="G9" s="9"/>
      <c r="H9" s="8">
        <f>$AD$6</f>
        <v>2752.9433274453913</v>
      </c>
      <c r="I9" s="8"/>
      <c r="J9" s="8">
        <f>$AX$9</f>
        <v>250058.53981534846</v>
      </c>
      <c r="K9" s="8"/>
      <c r="AA9">
        <v>1</v>
      </c>
      <c r="AB9">
        <f>MAX(0,$C$10-AE9)</f>
        <v>279847.05667255458</v>
      </c>
      <c r="AC9">
        <f>IF($C$10&lt;=0,0,$C$10*$AA$6)</f>
        <v>2100</v>
      </c>
      <c r="AD9">
        <f>IF($C$10&lt;=0,0,MIN($AC$6,$C$10+AC9))</f>
        <v>2252.9433274453913</v>
      </c>
      <c r="AE9">
        <f t="shared" ref="AE9:AE72" si="0">MAX(0,AD9-AC9)</f>
        <v>152.94332744539133</v>
      </c>
      <c r="AF9">
        <f>AC9</f>
        <v>2100</v>
      </c>
      <c r="AG9">
        <f>AE9</f>
        <v>152.94332744539133</v>
      </c>
      <c r="AO9">
        <v>1</v>
      </c>
      <c r="AP9">
        <f>MAX(0,$C$10-AS9)</f>
        <v>279347.05667255458</v>
      </c>
      <c r="AQ9">
        <f>IF($C$10&lt;=0,0,$C$10*$AA$6)</f>
        <v>2100</v>
      </c>
      <c r="AR9">
        <f>IF($C$10&lt;=0,0,MIN($AD$6,$C$10+AQ9))</f>
        <v>2752.9433274453913</v>
      </c>
      <c r="AS9">
        <f t="shared" ref="AS9:AS72" si="1">MAX(0,AR9-AQ9)</f>
        <v>652.94332744539133</v>
      </c>
      <c r="AT9">
        <f>AQ9</f>
        <v>2100</v>
      </c>
      <c r="AU9">
        <f>AS9</f>
        <v>652.94332744539133</v>
      </c>
      <c r="AX9" s="18">
        <f>SUM(AQ9:INDEX(AQ:AQ,5+$AX$8))</f>
        <v>250058.53981534846</v>
      </c>
      <c r="BA9">
        <v>0</v>
      </c>
      <c r="BB9" s="20">
        <f>$C$10</f>
        <v>280000</v>
      </c>
      <c r="BC9" s="20">
        <f>$C$10</f>
        <v>280000</v>
      </c>
      <c r="BD9">
        <v>0</v>
      </c>
      <c r="BE9">
        <v>0</v>
      </c>
    </row>
    <row r="10" spans="1:57" ht="27.75" customHeight="1" thickBot="1">
      <c r="A10" s="19"/>
      <c r="B10" s="21" t="s">
        <v>17</v>
      </c>
      <c r="C10" s="7">
        <v>280000</v>
      </c>
      <c r="D10" s="7"/>
      <c r="E10" s="17"/>
      <c r="F10" s="9"/>
      <c r="G10" s="9"/>
      <c r="H10" s="8"/>
      <c r="I10" s="8"/>
      <c r="J10" s="8"/>
      <c r="K10" s="8"/>
      <c r="AA10">
        <f t="shared" ref="AA10:AA73" si="2">AA9+1</f>
        <v>2</v>
      </c>
      <c r="AB10">
        <f t="shared" ref="AB10:AB73" si="3">MAX(0,AB9-AE10)</f>
        <v>279692.96627015335</v>
      </c>
      <c r="AC10">
        <f t="shared" ref="AC10:AC73" si="4">IF(AB9&lt;=0,0,AB9*$AA$6)</f>
        <v>2098.8529250441593</v>
      </c>
      <c r="AD10">
        <f t="shared" ref="AD10:AD73" si="5">IF(AB9&lt;=0,0,MIN($AC$6,AB9+AC10))</f>
        <v>2252.9433274453913</v>
      </c>
      <c r="AE10">
        <f t="shared" si="0"/>
        <v>154.09040240123204</v>
      </c>
      <c r="AF10">
        <f t="shared" ref="AF10:AF73" si="6">AF9+AC10</f>
        <v>4198.8529250441588</v>
      </c>
      <c r="AG10">
        <f t="shared" ref="AG10:AG73" si="7">AG9+AE10</f>
        <v>307.03372984662337</v>
      </c>
      <c r="AO10">
        <f t="shared" ref="AO10:AO73" si="8">AO9+1</f>
        <v>2</v>
      </c>
      <c r="AP10">
        <f t="shared" ref="AP10:AP73" si="9">MAX(0,AP9-AS10)</f>
        <v>278689.21627015335</v>
      </c>
      <c r="AQ10">
        <f t="shared" ref="AQ10:AQ73" si="10">IF(AP9&lt;=0,0,AP9*$AA$6)</f>
        <v>2095.1029250441593</v>
      </c>
      <c r="AR10">
        <f t="shared" ref="AR10:AR73" si="11">IF(AP9&lt;=0,0,MIN($AD$6,AP9+AQ10))</f>
        <v>2752.9433274453913</v>
      </c>
      <c r="AS10">
        <f t="shared" si="1"/>
        <v>657.84040240123204</v>
      </c>
      <c r="AT10">
        <f t="shared" ref="AT10:AT73" si="12">AT9+AQ10</f>
        <v>4195.1029250441588</v>
      </c>
      <c r="AU10">
        <f t="shared" ref="AU10:AU73" si="13">AU9+AS10</f>
        <v>1310.7837298466234</v>
      </c>
      <c r="AX10" s="18">
        <f>SUM(AR9:INDEX(AR:AR,5+$AX$8))</f>
        <v>523059.23221462709</v>
      </c>
      <c r="BA10">
        <v>1</v>
      </c>
      <c r="BB10">
        <f>IF(BA10*12&gt;$AX$2,0,INDEX($AB$9:$AB$608,BA10*12))</f>
        <v>278087.04812438274</v>
      </c>
      <c r="BC10">
        <f>IF(BA10*12&gt;$AX$8,0,INDEX($AP$9:$AP$608,BA10*12))</f>
        <v>271833.25494631723</v>
      </c>
      <c r="BD10">
        <f>IF(BA10*12&gt;$AX$8,$AX$9,INDEX($AT$9:$AT$608,BA10*12))</f>
        <v>24868.574875661896</v>
      </c>
      <c r="BE10">
        <f>IF(BA10*12&gt;$AX$8,$C$10,INDEX($AU$9:$AU$608,BA10*12))</f>
        <v>8166.7450536828001</v>
      </c>
    </row>
    <row r="11" spans="1:57" ht="19.5" customHeight="1" thickBot="1">
      <c r="A11" s="19"/>
      <c r="B11" s="21" t="s">
        <v>18</v>
      </c>
      <c r="C11" s="6">
        <v>9</v>
      </c>
      <c r="D11" s="6"/>
      <c r="E11" s="17"/>
      <c r="F11" s="22" t="s">
        <v>19</v>
      </c>
      <c r="G11" s="23"/>
      <c r="H11" s="24" t="s">
        <v>20</v>
      </c>
      <c r="I11" s="19"/>
      <c r="J11" s="24" t="s">
        <v>21</v>
      </c>
      <c r="K11" s="19"/>
      <c r="AA11">
        <f t="shared" si="2"/>
        <v>3</v>
      </c>
      <c r="AB11">
        <f t="shared" si="3"/>
        <v>279537.72018973413</v>
      </c>
      <c r="AC11">
        <f t="shared" si="4"/>
        <v>2097.6972470261499</v>
      </c>
      <c r="AD11">
        <f t="shared" si="5"/>
        <v>2252.9433274453913</v>
      </c>
      <c r="AE11">
        <f t="shared" si="0"/>
        <v>155.24608041924148</v>
      </c>
      <c r="AF11">
        <f t="shared" si="6"/>
        <v>6296.5501720703087</v>
      </c>
      <c r="AG11">
        <f t="shared" si="7"/>
        <v>462.27981026586485</v>
      </c>
      <c r="AO11">
        <f t="shared" si="8"/>
        <v>3</v>
      </c>
      <c r="AP11">
        <f t="shared" si="9"/>
        <v>278026.44206473412</v>
      </c>
      <c r="AQ11">
        <f t="shared" si="10"/>
        <v>2090.16912202615</v>
      </c>
      <c r="AR11">
        <f t="shared" si="11"/>
        <v>2752.9433274453913</v>
      </c>
      <c r="AS11">
        <f t="shared" si="1"/>
        <v>662.7742054192413</v>
      </c>
      <c r="AT11">
        <f t="shared" si="12"/>
        <v>6285.2720470703089</v>
      </c>
      <c r="AU11">
        <f t="shared" si="13"/>
        <v>1973.5579352658647</v>
      </c>
      <c r="AX11" s="18">
        <f>MAX(0,$AX$7-$AX$10)</f>
        <v>283494.47901083005</v>
      </c>
      <c r="BA11">
        <v>2</v>
      </c>
      <c r="BB11">
        <f>IF(BA11*12&gt;$AX$2,0,INDEX($AB$9:$AB$608,BA11*12))</f>
        <v>275994.64816792001</v>
      </c>
      <c r="BC11">
        <f>IF(BA11*12&gt;$AX$8,0,INDEX($AP$9:$AP$608,BA11*12))</f>
        <v>262900.41287507856</v>
      </c>
      <c r="BD11">
        <f>IF(BA11*12&gt;$AX$8,$AX$9,INDEX($AT$9:$AT$608,BA11*12))</f>
        <v>48971.052733767952</v>
      </c>
      <c r="BE11">
        <f>IF(BA11*12&gt;$AX$8,$C$10,INDEX($AU$9:$AU$608,BA11*12))</f>
        <v>17099.587124921436</v>
      </c>
    </row>
    <row r="12" spans="1:57" ht="25.5" customHeight="1" thickBot="1">
      <c r="A12" s="19"/>
      <c r="B12" s="21" t="s">
        <v>22</v>
      </c>
      <c r="C12" s="5">
        <v>30</v>
      </c>
      <c r="D12" s="5"/>
      <c r="E12" s="17"/>
      <c r="F12" s="10" t="s">
        <v>23</v>
      </c>
      <c r="G12" s="10"/>
      <c r="H12" s="4" t="s">
        <v>24</v>
      </c>
      <c r="I12" s="4"/>
      <c r="J12" s="3" t="s">
        <v>25</v>
      </c>
      <c r="K12" s="3"/>
      <c r="AA12">
        <f t="shared" si="2"/>
        <v>4</v>
      </c>
      <c r="AB12">
        <f t="shared" si="3"/>
        <v>279381.30976371176</v>
      </c>
      <c r="AC12">
        <f t="shared" si="4"/>
        <v>2096.532901423006</v>
      </c>
      <c r="AD12">
        <f t="shared" si="5"/>
        <v>2252.9433274453913</v>
      </c>
      <c r="AE12">
        <f t="shared" si="0"/>
        <v>156.41042602238531</v>
      </c>
      <c r="AF12">
        <f t="shared" si="6"/>
        <v>8393.0830734933152</v>
      </c>
      <c r="AG12">
        <f t="shared" si="7"/>
        <v>618.69023628825016</v>
      </c>
      <c r="AO12">
        <f t="shared" si="8"/>
        <v>4</v>
      </c>
      <c r="AP12">
        <f t="shared" si="9"/>
        <v>277358.69705277425</v>
      </c>
      <c r="AQ12">
        <f t="shared" si="10"/>
        <v>2085.1983154855056</v>
      </c>
      <c r="AR12">
        <f t="shared" si="11"/>
        <v>2752.9433274453913</v>
      </c>
      <c r="AS12">
        <f t="shared" si="1"/>
        <v>667.74501195988569</v>
      </c>
      <c r="AT12">
        <f t="shared" si="12"/>
        <v>8370.4703625558141</v>
      </c>
      <c r="AU12">
        <f t="shared" si="13"/>
        <v>2641.3029472257504</v>
      </c>
      <c r="AX12" s="16">
        <f>MAX(0,$AX$2-$AX$8)</f>
        <v>168</v>
      </c>
      <c r="BA12">
        <v>3</v>
      </c>
      <c r="BB12">
        <f>IF(BA12*12&gt;$AX$2,0,INDEX($AB$9:$AB$608,BA12*12))</f>
        <v>273705.96666285448</v>
      </c>
      <c r="BC12">
        <f>IF(BA12*12&gt;$AX$8,0,INDEX($AP$9:$AP$608,BA12*12))</f>
        <v>253129.6086017522</v>
      </c>
      <c r="BD12">
        <f>IF(BA12*12&gt;$AX$8,$AX$9,INDEX($AT$9:$AT$608,BA12*12))</f>
        <v>72235.568389786276</v>
      </c>
      <c r="BE12">
        <f>IF(BA12*12&gt;$AX$8,$C$10,INDEX($AU$9:$AU$608,BA12*12))</f>
        <v>26870.391398247797</v>
      </c>
    </row>
    <row r="13" spans="1:57" ht="27.75" customHeight="1" thickBot="1">
      <c r="A13" s="19"/>
      <c r="B13" s="21" t="s">
        <v>26</v>
      </c>
      <c r="C13" s="7">
        <v>500</v>
      </c>
      <c r="D13" s="7"/>
      <c r="E13" s="17"/>
      <c r="F13" s="8">
        <f>$AX$10</f>
        <v>523059.23221462709</v>
      </c>
      <c r="G13" s="8"/>
      <c r="H13" s="2">
        <f>$AX$11</f>
        <v>283494.47901083005</v>
      </c>
      <c r="I13" s="2"/>
      <c r="J13" s="1">
        <f>$AX$8/12</f>
        <v>16.083333333333332</v>
      </c>
      <c r="K13" s="1"/>
      <c r="AA13">
        <f t="shared" si="2"/>
        <v>5</v>
      </c>
      <c r="AB13">
        <f t="shared" si="3"/>
        <v>279223.7262594942</v>
      </c>
      <c r="AC13">
        <f t="shared" si="4"/>
        <v>2095.3598232278382</v>
      </c>
      <c r="AD13">
        <f t="shared" si="5"/>
        <v>2252.9433274453913</v>
      </c>
      <c r="AE13">
        <f t="shared" si="0"/>
        <v>157.58350421755313</v>
      </c>
      <c r="AF13">
        <f t="shared" si="6"/>
        <v>10488.442896721153</v>
      </c>
      <c r="AG13">
        <f t="shared" si="7"/>
        <v>776.27374050580329</v>
      </c>
      <c r="AO13">
        <f t="shared" si="8"/>
        <v>5</v>
      </c>
      <c r="AP13">
        <f t="shared" si="9"/>
        <v>276685.94395322469</v>
      </c>
      <c r="AQ13">
        <f t="shared" si="10"/>
        <v>2080.1902278958069</v>
      </c>
      <c r="AR13">
        <f t="shared" si="11"/>
        <v>2752.9433274453913</v>
      </c>
      <c r="AS13">
        <f t="shared" si="1"/>
        <v>672.75309954958448</v>
      </c>
      <c r="AT13">
        <f t="shared" si="12"/>
        <v>10450.660590451622</v>
      </c>
      <c r="AU13">
        <f t="shared" si="13"/>
        <v>3314.0560467753348</v>
      </c>
      <c r="AX13" s="25">
        <f>IF($C$10=0,0,$AX$9/$C$10)</f>
        <v>0.8930662136262445</v>
      </c>
      <c r="BA13">
        <v>4</v>
      </c>
      <c r="BB13">
        <f>IF(BA13*12&gt;$AX$2,0,INDEX($AB$9:$AB$608,BA13*12))</f>
        <v>271202.59104604181</v>
      </c>
      <c r="BC13">
        <f>IF(BA13*12&gt;$AX$8,0,INDEX($AP$9:$AP$608,BA13*12))</f>
        <v>242442.23549179471</v>
      </c>
      <c r="BD13">
        <f>IF(BA13*12&gt;$AX$8,$AX$9,INDEX($AT$9:$AT$608,BA13*12))</f>
        <v>94583.515209173464</v>
      </c>
      <c r="BE13">
        <f>IF(BA13*12&gt;$AX$8,$C$10,INDEX($AU$9:$AU$608,BA13*12))</f>
        <v>37557.764508205291</v>
      </c>
    </row>
    <row r="14" spans="1:57" ht="27.75" customHeight="1" thickBot="1">
      <c r="A14" s="19"/>
      <c r="B14" s="19"/>
      <c r="C14" s="19"/>
      <c r="D14" s="19"/>
      <c r="E14" s="17"/>
      <c r="F14" s="8"/>
      <c r="G14" s="8"/>
      <c r="H14" s="2"/>
      <c r="I14" s="2"/>
      <c r="J14" s="1"/>
      <c r="K14" s="1"/>
      <c r="AA14">
        <f t="shared" si="2"/>
        <v>6</v>
      </c>
      <c r="AB14">
        <f t="shared" si="3"/>
        <v>279064.96087899501</v>
      </c>
      <c r="AC14">
        <f t="shared" si="4"/>
        <v>2094.1779469462062</v>
      </c>
      <c r="AD14">
        <f t="shared" si="5"/>
        <v>2252.9433274453913</v>
      </c>
      <c r="AE14">
        <f t="shared" si="0"/>
        <v>158.76538049918508</v>
      </c>
      <c r="AF14">
        <f t="shared" si="6"/>
        <v>12582.620843667359</v>
      </c>
      <c r="AG14">
        <f t="shared" si="7"/>
        <v>935.03912100498837</v>
      </c>
      <c r="AO14">
        <f t="shared" si="8"/>
        <v>6</v>
      </c>
      <c r="AP14">
        <f t="shared" si="9"/>
        <v>276008.14520542847</v>
      </c>
      <c r="AQ14">
        <f t="shared" si="10"/>
        <v>2075.1445796491853</v>
      </c>
      <c r="AR14">
        <f t="shared" si="11"/>
        <v>2752.9433274453913</v>
      </c>
      <c r="AS14">
        <f t="shared" si="1"/>
        <v>677.79874779620604</v>
      </c>
      <c r="AT14">
        <f t="shared" si="12"/>
        <v>12525.805170100808</v>
      </c>
      <c r="AU14">
        <f t="shared" si="13"/>
        <v>3991.8547945715409</v>
      </c>
      <c r="BA14">
        <v>5</v>
      </c>
      <c r="BB14">
        <f>IF(BA14*12&gt;$AX$2,0,INDEX($AB$9:$AB$608,BA14*12))</f>
        <v>268464.38152891077</v>
      </c>
      <c r="BC14">
        <f>IF(BA14*12&gt;$AX$8,0,INDEX($AP$9:$AP$608,BA14*12))</f>
        <v>230752.31306613982</v>
      </c>
      <c r="BD14">
        <f>IF(BA14*12&gt;$AX$8,$AX$9,INDEX($AT$9:$AT$608,BA14*12))</f>
        <v>115928.91271286325</v>
      </c>
      <c r="BE14">
        <f>IF(BA14*12&gt;$AX$8,$C$10,INDEX($AU$9:$AU$608,BA14*12))</f>
        <v>49247.686933860183</v>
      </c>
    </row>
    <row r="15" spans="1:57" ht="19.5" customHeight="1">
      <c r="A15" s="19"/>
      <c r="B15" s="26" t="s">
        <v>27</v>
      </c>
      <c r="C15" s="19"/>
      <c r="D15" s="19"/>
      <c r="E15" s="17"/>
      <c r="F15" s="24" t="s">
        <v>28</v>
      </c>
      <c r="G15" s="19"/>
      <c r="H15" s="27" t="s">
        <v>29</v>
      </c>
      <c r="I15" s="28"/>
      <c r="J15" s="29" t="s">
        <v>30</v>
      </c>
      <c r="K15" s="30"/>
      <c r="AA15">
        <f t="shared" si="2"/>
        <v>7</v>
      </c>
      <c r="AB15">
        <f t="shared" si="3"/>
        <v>278905.00475814211</v>
      </c>
      <c r="AC15">
        <f t="shared" si="4"/>
        <v>2092.9872065924624</v>
      </c>
      <c r="AD15">
        <f t="shared" si="5"/>
        <v>2252.9433274453913</v>
      </c>
      <c r="AE15">
        <f t="shared" si="0"/>
        <v>159.95612085292896</v>
      </c>
      <c r="AF15">
        <f t="shared" si="6"/>
        <v>14675.608050259822</v>
      </c>
      <c r="AG15">
        <f t="shared" si="7"/>
        <v>1094.9952418579173</v>
      </c>
      <c r="AO15">
        <f t="shared" si="8"/>
        <v>7</v>
      </c>
      <c r="AP15">
        <f t="shared" si="9"/>
        <v>275325.26296702382</v>
      </c>
      <c r="AQ15">
        <f t="shared" si="10"/>
        <v>2070.0610890407133</v>
      </c>
      <c r="AR15">
        <f t="shared" si="11"/>
        <v>2752.9433274453913</v>
      </c>
      <c r="AS15">
        <f t="shared" si="1"/>
        <v>682.88223840467799</v>
      </c>
      <c r="AT15">
        <f t="shared" si="12"/>
        <v>14595.866259141521</v>
      </c>
      <c r="AU15">
        <f t="shared" si="13"/>
        <v>4674.7370329762189</v>
      </c>
      <c r="BA15">
        <v>6</v>
      </c>
      <c r="BB15">
        <f>IF(BA15*12&gt;$AX$2,0,INDEX($AB$9:$AB$608,BA15*12))</f>
        <v>265469.30907180457</v>
      </c>
      <c r="BC15">
        <f>IF(BA15*12&gt;$AX$8,0,INDEX($AP$9:$AP$608,BA15*12))</f>
        <v>217965.79528371972</v>
      </c>
      <c r="BD15">
        <f>IF(BA15*12&gt;$AX$8,$AX$9,INDEX($AT$9:$AT$608,BA15*12))</f>
        <v>136177.71485978793</v>
      </c>
      <c r="BE15">
        <f>IF(BA15*12&gt;$AX$8,$C$10,INDEX($AU$9:$AU$608,BA15*12))</f>
        <v>62034.204716280219</v>
      </c>
    </row>
    <row r="16" spans="1:57" ht="21" customHeight="1">
      <c r="A16" s="19"/>
      <c r="B16" s="26" t="s">
        <v>31</v>
      </c>
      <c r="C16" s="19"/>
      <c r="D16" s="19"/>
      <c r="E16" s="17"/>
      <c r="F16" s="17"/>
      <c r="G16" s="17"/>
      <c r="H16" s="17"/>
      <c r="I16" s="17"/>
      <c r="J16" s="17"/>
      <c r="K16" s="17"/>
      <c r="AA16">
        <f t="shared" si="2"/>
        <v>8</v>
      </c>
      <c r="AB16">
        <f t="shared" si="3"/>
        <v>278743.84896638279</v>
      </c>
      <c r="AC16">
        <f t="shared" si="4"/>
        <v>2091.7875356860659</v>
      </c>
      <c r="AD16">
        <f t="shared" si="5"/>
        <v>2252.9433274453913</v>
      </c>
      <c r="AE16">
        <f t="shared" si="0"/>
        <v>161.15579175932544</v>
      </c>
      <c r="AF16">
        <f t="shared" si="6"/>
        <v>16767.395585945887</v>
      </c>
      <c r="AG16">
        <f t="shared" si="7"/>
        <v>1256.1510336172428</v>
      </c>
      <c r="AO16">
        <f t="shared" si="8"/>
        <v>8</v>
      </c>
      <c r="AP16">
        <f t="shared" si="9"/>
        <v>274637.25911183114</v>
      </c>
      <c r="AQ16">
        <f t="shared" si="10"/>
        <v>2064.9394722526786</v>
      </c>
      <c r="AR16">
        <f t="shared" si="11"/>
        <v>2752.9433274453913</v>
      </c>
      <c r="AS16">
        <f t="shared" si="1"/>
        <v>688.00385519271276</v>
      </c>
      <c r="AT16">
        <f t="shared" si="12"/>
        <v>16660.805731394201</v>
      </c>
      <c r="AU16">
        <f t="shared" si="13"/>
        <v>5362.7408881689316</v>
      </c>
      <c r="BA16">
        <v>7</v>
      </c>
      <c r="BB16">
        <f>IF(BA16*12&gt;$AX$2,0,INDEX($AB$9:$AB$608,BA16*12))</f>
        <v>262193.27815919748</v>
      </c>
      <c r="BC16">
        <f>IF(BA16*12&gt;$AX$8,0,INDEX($AP$9:$AP$608,BA16*12))</f>
        <v>203979.813936116</v>
      </c>
      <c r="BD16">
        <f>IF(BA16*12&gt;$AX$8,$AX$9,INDEX($AT$9:$AT$608,BA16*12))</f>
        <v>155227.0534415289</v>
      </c>
      <c r="BE16">
        <f>IF(BA16*12&gt;$AX$8,$C$10,INDEX($AU$9:$AU$608,BA16*12))</f>
        <v>76020.186063883957</v>
      </c>
    </row>
    <row r="17" spans="1:57" ht="24" customHeight="1">
      <c r="A17" s="19"/>
      <c r="B17" s="19"/>
      <c r="C17" s="19"/>
      <c r="D17" s="19"/>
      <c r="E17" s="17"/>
      <c r="F17" s="47" t="s">
        <v>32</v>
      </c>
      <c r="G17" s="47"/>
      <c r="H17" s="47"/>
      <c r="I17" s="47"/>
      <c r="J17" s="47"/>
      <c r="K17" s="47"/>
      <c r="AA17">
        <f t="shared" si="2"/>
        <v>9</v>
      </c>
      <c r="AB17">
        <f t="shared" si="3"/>
        <v>278581.48450618528</v>
      </c>
      <c r="AC17">
        <f t="shared" si="4"/>
        <v>2090.5788672478707</v>
      </c>
      <c r="AD17">
        <f t="shared" si="5"/>
        <v>2252.9433274453913</v>
      </c>
      <c r="AE17">
        <f t="shared" si="0"/>
        <v>162.36446019752066</v>
      </c>
      <c r="AF17">
        <f t="shared" si="6"/>
        <v>18857.974453193758</v>
      </c>
      <c r="AG17">
        <f t="shared" si="7"/>
        <v>1418.5154938147634</v>
      </c>
      <c r="AO17">
        <f t="shared" si="8"/>
        <v>9</v>
      </c>
      <c r="AP17">
        <f t="shared" si="9"/>
        <v>273944.09522772447</v>
      </c>
      <c r="AQ17">
        <f t="shared" si="10"/>
        <v>2059.7794433387335</v>
      </c>
      <c r="AR17">
        <f t="shared" si="11"/>
        <v>2752.9433274453913</v>
      </c>
      <c r="AS17">
        <f t="shared" si="1"/>
        <v>693.16388410665786</v>
      </c>
      <c r="AT17">
        <f t="shared" si="12"/>
        <v>18720.585174732936</v>
      </c>
      <c r="AU17">
        <f t="shared" si="13"/>
        <v>6055.9047722755895</v>
      </c>
      <c r="BA17">
        <v>8</v>
      </c>
      <c r="BB17">
        <f>IF(BA17*12&gt;$AX$2,0,INDEX($AB$9:$AB$608,BA17*12))</f>
        <v>258609.93295000438</v>
      </c>
      <c r="BC17">
        <f>IF(BA17*12&gt;$AX$8,0,INDEX($AP$9:$AP$608,BA17*12))</f>
        <v>188681.85106740938</v>
      </c>
      <c r="BD17">
        <f>IF(BA17*12&gt;$AX$8,$AX$9,INDEX($AT$9:$AT$608,BA17*12))</f>
        <v>172964.41050216698</v>
      </c>
      <c r="BE17">
        <f>IF(BA17*12&gt;$AX$8,$C$10,INDEX($AU$9:$AU$608,BA17*12))</f>
        <v>91318.14893259063</v>
      </c>
    </row>
    <row r="18" spans="1:57" ht="34.5" customHeight="1">
      <c r="A18" s="19"/>
      <c r="B18" s="19"/>
      <c r="C18" s="19"/>
      <c r="D18" s="19"/>
      <c r="E18" s="17"/>
      <c r="F18" s="48" t="str">
        <f>"Você pagará o equivalente a "&amp;TEXT($AX$9/$C$10,"0.0%")&amp;" do valor do empréstimo em juros."&amp;CHAR(10)&amp;"Com a amortização extra mensal, a economia estimada é de "&amp;TEXT($AX$11,"#,##0.00")&amp;" e o prazo cai cerca de "&amp;TEXT($AX$12/12,"0.0")&amp;" anos."</f>
        <v>Você pagará o equivalente a 89% do valor do empréstimo em juros.
Com a amortização extra mensal, a economia estimada é de 283494,47901 e o prazo cai cerca de 14 anos.</v>
      </c>
      <c r="G18" s="48"/>
      <c r="H18" s="48"/>
      <c r="I18" s="48"/>
      <c r="J18" s="48"/>
      <c r="K18" s="48"/>
      <c r="AA18">
        <f t="shared" si="2"/>
        <v>10</v>
      </c>
      <c r="AB18">
        <f t="shared" si="3"/>
        <v>278417.90231253626</v>
      </c>
      <c r="AC18">
        <f t="shared" si="4"/>
        <v>2089.3611337963894</v>
      </c>
      <c r="AD18">
        <f t="shared" si="5"/>
        <v>2252.9433274453913</v>
      </c>
      <c r="AE18">
        <f t="shared" si="0"/>
        <v>163.58219364900197</v>
      </c>
      <c r="AF18">
        <f t="shared" si="6"/>
        <v>20947.335586990146</v>
      </c>
      <c r="AG18">
        <f t="shared" si="7"/>
        <v>1582.0976874637654</v>
      </c>
      <c r="AO18">
        <f t="shared" si="8"/>
        <v>10</v>
      </c>
      <c r="AP18">
        <f t="shared" si="9"/>
        <v>273245.732614487</v>
      </c>
      <c r="AQ18">
        <f t="shared" si="10"/>
        <v>2054.5807142079334</v>
      </c>
      <c r="AR18">
        <f t="shared" si="11"/>
        <v>2752.9433274453913</v>
      </c>
      <c r="AS18">
        <f t="shared" si="1"/>
        <v>698.36261323745794</v>
      </c>
      <c r="AT18">
        <f t="shared" si="12"/>
        <v>20775.165888940868</v>
      </c>
      <c r="AU18">
        <f t="shared" si="13"/>
        <v>6754.267385513047</v>
      </c>
      <c r="BA18">
        <v>9</v>
      </c>
      <c r="BB18">
        <f>IF(BA18*12&gt;$AX$2,0,INDEX($AB$9:$AB$608,BA18*12))</f>
        <v>254690.44524345273</v>
      </c>
      <c r="BC18">
        <f>IF(BA18*12&gt;$AX$8,0,INDEX($AP$9:$AP$608,BA18*12))</f>
        <v>171948.83376130342</v>
      </c>
      <c r="BD18">
        <f>IF(BA18*12&gt;$AX$8,$AX$9,INDEX($AT$9:$AT$608,BA18*12))</f>
        <v>189266.71312540572</v>
      </c>
      <c r="BE18">
        <f>IF(BA18*12&gt;$AX$8,$C$10,INDEX($AU$9:$AU$608,BA18*12))</f>
        <v>108051.16623869653</v>
      </c>
    </row>
    <row r="19" spans="1:57" ht="34.5" customHeight="1" thickBot="1">
      <c r="A19" s="17"/>
      <c r="B19" s="17"/>
      <c r="C19" s="17"/>
      <c r="D19" s="17"/>
      <c r="E19" s="17"/>
      <c r="F19" s="48"/>
      <c r="G19" s="48"/>
      <c r="H19" s="48"/>
      <c r="I19" s="48"/>
      <c r="J19" s="48"/>
      <c r="K19" s="48"/>
      <c r="AA19">
        <f t="shared" si="2"/>
        <v>11</v>
      </c>
      <c r="AB19">
        <f t="shared" si="3"/>
        <v>278253.09325243486</v>
      </c>
      <c r="AC19">
        <f t="shared" si="4"/>
        <v>2088.1342673440217</v>
      </c>
      <c r="AD19">
        <f t="shared" si="5"/>
        <v>2252.9433274453913</v>
      </c>
      <c r="AE19">
        <f t="shared" si="0"/>
        <v>164.8090601013696</v>
      </c>
      <c r="AF19">
        <f t="shared" si="6"/>
        <v>23035.469854334169</v>
      </c>
      <c r="AG19">
        <f t="shared" si="7"/>
        <v>1746.906747565135</v>
      </c>
      <c r="AO19">
        <f t="shared" si="8"/>
        <v>11</v>
      </c>
      <c r="AP19">
        <f t="shared" si="9"/>
        <v>272542.13228165027</v>
      </c>
      <c r="AQ19">
        <f t="shared" si="10"/>
        <v>2049.3429946086526</v>
      </c>
      <c r="AR19">
        <f t="shared" si="11"/>
        <v>2752.9433274453913</v>
      </c>
      <c r="AS19">
        <f t="shared" si="1"/>
        <v>703.60033283673874</v>
      </c>
      <c r="AT19">
        <f t="shared" si="12"/>
        <v>22824.508883549519</v>
      </c>
      <c r="AU19">
        <f t="shared" si="13"/>
        <v>7457.8677183497857</v>
      </c>
      <c r="BA19">
        <v>10</v>
      </c>
      <c r="BB19">
        <f>IF(BA19*12&gt;$AX$2,0,INDEX($AB$9:$AB$608,BA19*12))</f>
        <v>250403.28255468991</v>
      </c>
      <c r="BC19">
        <f>IF(BA19*12&gt;$AX$8,0,INDEX($AP$9:$AP$608,BA19*12))</f>
        <v>153646.1440130368</v>
      </c>
      <c r="BD19">
        <f>IF(BA19*12&gt;$AX$8,$AX$9,INDEX($AT$9:$AT$608,BA19*12))</f>
        <v>203999.34330648379</v>
      </c>
      <c r="BE19">
        <f>IF(BA19*12&gt;$AX$8,$C$10,INDEX($AU$9:$AU$608,BA19*12))</f>
        <v>126353.85598696308</v>
      </c>
    </row>
    <row r="20" spans="1:57" ht="21" customHeight="1" thickBo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AA20">
        <f t="shared" si="2"/>
        <v>12</v>
      </c>
      <c r="AB20">
        <f t="shared" si="3"/>
        <v>278087.04812438274</v>
      </c>
      <c r="AC20">
        <f t="shared" si="4"/>
        <v>2086.8981993932612</v>
      </c>
      <c r="AD20">
        <f t="shared" si="5"/>
        <v>2252.9433274453913</v>
      </c>
      <c r="AE20">
        <f t="shared" si="0"/>
        <v>166.04512805213017</v>
      </c>
      <c r="AF20">
        <f t="shared" si="6"/>
        <v>25122.36805372743</v>
      </c>
      <c r="AG20">
        <f t="shared" si="7"/>
        <v>1912.9518756172652</v>
      </c>
      <c r="AO20">
        <f t="shared" si="8"/>
        <v>12</v>
      </c>
      <c r="AP20">
        <f t="shared" si="9"/>
        <v>271833.25494631723</v>
      </c>
      <c r="AQ20">
        <f t="shared" si="10"/>
        <v>2044.065992112377</v>
      </c>
      <c r="AR20">
        <f t="shared" si="11"/>
        <v>2752.9433274453913</v>
      </c>
      <c r="AS20">
        <f t="shared" si="1"/>
        <v>708.87733533301434</v>
      </c>
      <c r="AT20">
        <f t="shared" si="12"/>
        <v>24868.574875661896</v>
      </c>
      <c r="AU20">
        <f t="shared" si="13"/>
        <v>8166.7450536828001</v>
      </c>
      <c r="BA20">
        <v>11</v>
      </c>
      <c r="BB20">
        <f>IF(BA20*12&gt;$AX$2,0,INDEX($AB$9:$AB$608,BA20*12))</f>
        <v>245713.95443428337</v>
      </c>
      <c r="BC20">
        <f>IF(BA20*12&gt;$AX$8,0,INDEX($AP$9:$AP$608,BA20*12))</f>
        <v>133626.53572045083</v>
      </c>
      <c r="BD20">
        <f>IF(BA20*12&gt;$AX$8,$AX$9,INDEX($AT$9:$AT$608,BA20*12))</f>
        <v>217015.05494324252</v>
      </c>
      <c r="BE20">
        <f>IF(BA20*12&gt;$AX$8,$C$10,INDEX($AU$9:$AU$608,BA20*12))</f>
        <v>146373.46427954905</v>
      </c>
    </row>
    <row r="21" spans="1:57" ht="25.5" customHeight="1" thickBot="1">
      <c r="A21" s="12" t="s">
        <v>33</v>
      </c>
      <c r="B21" s="12"/>
      <c r="C21" s="12"/>
      <c r="D21" s="12"/>
      <c r="E21" s="17"/>
      <c r="F21" s="31" t="s">
        <v>34</v>
      </c>
      <c r="G21" s="19"/>
      <c r="H21" s="19"/>
      <c r="I21" s="19"/>
      <c r="J21" s="19"/>
      <c r="K21" s="19"/>
      <c r="AA21">
        <f t="shared" si="2"/>
        <v>13</v>
      </c>
      <c r="AB21">
        <f t="shared" si="3"/>
        <v>277919.75765787024</v>
      </c>
      <c r="AC21">
        <f t="shared" si="4"/>
        <v>2085.6528609328707</v>
      </c>
      <c r="AD21">
        <f t="shared" si="5"/>
        <v>2252.9433274453913</v>
      </c>
      <c r="AE21">
        <f t="shared" si="0"/>
        <v>167.29046651252065</v>
      </c>
      <c r="AF21">
        <f t="shared" si="6"/>
        <v>27208.020914660301</v>
      </c>
      <c r="AG21">
        <f t="shared" si="7"/>
        <v>2080.2423421297858</v>
      </c>
      <c r="AO21">
        <f t="shared" si="8"/>
        <v>13</v>
      </c>
      <c r="AP21">
        <f t="shared" si="9"/>
        <v>271119.0610309692</v>
      </c>
      <c r="AQ21">
        <f t="shared" si="10"/>
        <v>2038.7494120973793</v>
      </c>
      <c r="AR21">
        <f t="shared" si="11"/>
        <v>2752.9433274453913</v>
      </c>
      <c r="AS21">
        <f t="shared" si="1"/>
        <v>714.19391534801207</v>
      </c>
      <c r="AT21">
        <f t="shared" si="12"/>
        <v>26907.324287759275</v>
      </c>
      <c r="AU21">
        <f t="shared" si="13"/>
        <v>8880.9389690308126</v>
      </c>
      <c r="BA21">
        <v>12</v>
      </c>
      <c r="BB21">
        <f>IF(BA21*12&gt;$AX$2,0,INDEX($AB$9:$AB$608,BA21*12))</f>
        <v>240584.73499074031</v>
      </c>
      <c r="BC21">
        <f>IF(BA21*12&gt;$AX$8,0,INDEX($AP$9:$AP$608,BA21*12))</f>
        <v>111728.95008134909</v>
      </c>
      <c r="BD21">
        <f>IF(BA21*12&gt;$AX$8,$AX$9,INDEX($AT$9:$AT$608,BA21*12))</f>
        <v>228152.78923348547</v>
      </c>
      <c r="BE21">
        <f>IF(BA21*12&gt;$AX$8,$C$10,INDEX($AU$9:$AU$608,BA21*12))</f>
        <v>168271.0499186508</v>
      </c>
    </row>
    <row r="22" spans="1:57" ht="24" customHeight="1" thickBot="1">
      <c r="A22" s="32" t="s">
        <v>35</v>
      </c>
      <c r="B22" s="32" t="s">
        <v>36</v>
      </c>
      <c r="C22" s="32" t="s">
        <v>37</v>
      </c>
      <c r="D22" s="32" t="s">
        <v>38</v>
      </c>
      <c r="E22" s="17"/>
      <c r="F22" s="19"/>
      <c r="G22" s="19"/>
      <c r="H22" s="19"/>
      <c r="I22" s="19"/>
      <c r="J22" s="19"/>
      <c r="K22" s="19"/>
      <c r="AA22">
        <f t="shared" si="2"/>
        <v>14</v>
      </c>
      <c r="AB22">
        <f t="shared" si="3"/>
        <v>277751.21251285885</v>
      </c>
      <c r="AC22">
        <f t="shared" si="4"/>
        <v>2084.3981824340267</v>
      </c>
      <c r="AD22">
        <f t="shared" si="5"/>
        <v>2252.9433274453913</v>
      </c>
      <c r="AE22">
        <f t="shared" si="0"/>
        <v>168.54514501136464</v>
      </c>
      <c r="AF22">
        <f t="shared" si="6"/>
        <v>29292.419097094327</v>
      </c>
      <c r="AG22">
        <f t="shared" si="7"/>
        <v>2248.7874871411505</v>
      </c>
      <c r="AO22">
        <f t="shared" si="8"/>
        <v>14</v>
      </c>
      <c r="AP22">
        <f t="shared" si="9"/>
        <v>270399.51066125609</v>
      </c>
      <c r="AQ22">
        <f t="shared" si="10"/>
        <v>2033.392957732269</v>
      </c>
      <c r="AR22">
        <f t="shared" si="11"/>
        <v>2752.9433274453913</v>
      </c>
      <c r="AS22">
        <f t="shared" si="1"/>
        <v>719.55036971312234</v>
      </c>
      <c r="AT22">
        <f t="shared" si="12"/>
        <v>28940.717245491545</v>
      </c>
      <c r="AU22">
        <f t="shared" si="13"/>
        <v>9600.4893387439351</v>
      </c>
      <c r="BA22">
        <v>13</v>
      </c>
      <c r="BB22">
        <f>IF(BA22*12&gt;$AX$2,0,INDEX($AB$9:$AB$608,BA22*12))</f>
        <v>234974.35938372475</v>
      </c>
      <c r="BC22">
        <f>IF(BA22*12&gt;$AX$8,0,INDEX($AP$9:$AP$608,BA22*12))</f>
        <v>87777.21986695852</v>
      </c>
      <c r="BD22">
        <f>IF(BA22*12&gt;$AX$8,$AX$9,INDEX($AT$9:$AT$608,BA22*12))</f>
        <v>237236.37894843961</v>
      </c>
      <c r="BE22">
        <f>IF(BA22*12&gt;$AX$8,$C$10,INDEX($AU$9:$AU$608,BA22*12))</f>
        <v>192222.78013304135</v>
      </c>
    </row>
    <row r="23" spans="1:57" ht="21" customHeight="1" thickBot="1">
      <c r="A23" s="33" t="s">
        <v>39</v>
      </c>
      <c r="B23" s="34">
        <f>$AC$6</f>
        <v>2252.9433274453913</v>
      </c>
      <c r="C23" s="35">
        <f>$AD$6</f>
        <v>2752.9433274453913</v>
      </c>
      <c r="D23" s="36">
        <f>$AD$6-$AC$6</f>
        <v>500</v>
      </c>
      <c r="E23" s="17"/>
      <c r="F23" s="19"/>
      <c r="G23" s="19"/>
      <c r="H23" s="19"/>
      <c r="I23" s="19"/>
      <c r="J23" s="19"/>
      <c r="K23" s="19"/>
      <c r="AA23">
        <f t="shared" si="2"/>
        <v>15</v>
      </c>
      <c r="AB23">
        <f t="shared" si="3"/>
        <v>277581.40327925992</v>
      </c>
      <c r="AC23">
        <f t="shared" si="4"/>
        <v>2083.1340938464414</v>
      </c>
      <c r="AD23">
        <f t="shared" si="5"/>
        <v>2252.9433274453913</v>
      </c>
      <c r="AE23">
        <f t="shared" si="0"/>
        <v>169.80923359894996</v>
      </c>
      <c r="AF23">
        <f t="shared" si="6"/>
        <v>31375.553190940769</v>
      </c>
      <c r="AG23">
        <f t="shared" si="7"/>
        <v>2418.5967207401004</v>
      </c>
      <c r="AO23">
        <f t="shared" si="8"/>
        <v>15</v>
      </c>
      <c r="AP23">
        <f t="shared" si="9"/>
        <v>269674.5636637701</v>
      </c>
      <c r="AQ23">
        <f t="shared" si="10"/>
        <v>2027.9963299594206</v>
      </c>
      <c r="AR23">
        <f t="shared" si="11"/>
        <v>2752.9433274453913</v>
      </c>
      <c r="AS23">
        <f t="shared" si="1"/>
        <v>724.94699748597077</v>
      </c>
      <c r="AT23">
        <f t="shared" si="12"/>
        <v>30968.713575450965</v>
      </c>
      <c r="AU23">
        <f t="shared" si="13"/>
        <v>10325.436336229906</v>
      </c>
      <c r="BA23">
        <v>14</v>
      </c>
      <c r="BB23">
        <f>IF(BA23*12&gt;$AX$2,0,INDEX($AB$9:$AB$608,BA23*12))</f>
        <v>228837.69184624605</v>
      </c>
      <c r="BC23">
        <f>IF(BA23*12&gt;$AX$8,0,INDEX($AP$9:$AP$608,BA23*12))</f>
        <v>61578.652147303626</v>
      </c>
      <c r="BD23">
        <f>IF(BA23*12&gt;$AX$8,$AX$9,INDEX($AT$9:$AT$608,BA23*12))</f>
        <v>244073.1311581294</v>
      </c>
      <c r="BE23">
        <f>IF(BA23*12&gt;$AX$8,$C$10,INDEX($AU$9:$AU$608,BA23*12))</f>
        <v>218421.34785269626</v>
      </c>
    </row>
    <row r="24" spans="1:57" ht="21" customHeight="1" thickBot="1">
      <c r="A24" s="33" t="s">
        <v>40</v>
      </c>
      <c r="B24" s="34">
        <f>$AX$6</f>
        <v>531009.40885782032</v>
      </c>
      <c r="C24" s="35">
        <f>$AX$9</f>
        <v>250058.53981534846</v>
      </c>
      <c r="D24" s="36">
        <f>$AX$6-$AX$9</f>
        <v>280950.86904247187</v>
      </c>
      <c r="E24" s="17"/>
      <c r="F24" s="19"/>
      <c r="G24" s="19"/>
      <c r="H24" s="19"/>
      <c r="I24" s="19"/>
      <c r="J24" s="19"/>
      <c r="K24" s="19"/>
      <c r="AA24">
        <f t="shared" si="2"/>
        <v>16</v>
      </c>
      <c r="AB24">
        <f t="shared" si="3"/>
        <v>277410.32047640899</v>
      </c>
      <c r="AC24">
        <f t="shared" si="4"/>
        <v>2081.8605245944491</v>
      </c>
      <c r="AD24">
        <f t="shared" si="5"/>
        <v>2252.9433274453913</v>
      </c>
      <c r="AE24">
        <f t="shared" si="0"/>
        <v>171.08280285094224</v>
      </c>
      <c r="AF24">
        <f t="shared" si="6"/>
        <v>33457.413715535222</v>
      </c>
      <c r="AG24">
        <f t="shared" si="7"/>
        <v>2589.6795235910427</v>
      </c>
      <c r="AO24">
        <f t="shared" si="8"/>
        <v>16</v>
      </c>
      <c r="AP24">
        <f t="shared" si="9"/>
        <v>268944.17956380296</v>
      </c>
      <c r="AQ24">
        <f t="shared" si="10"/>
        <v>2022.5592274782757</v>
      </c>
      <c r="AR24">
        <f t="shared" si="11"/>
        <v>2752.9433274453913</v>
      </c>
      <c r="AS24">
        <f t="shared" si="1"/>
        <v>730.38409996711562</v>
      </c>
      <c r="AT24">
        <f t="shared" si="12"/>
        <v>32991.272802929241</v>
      </c>
      <c r="AU24">
        <f t="shared" si="13"/>
        <v>11055.820436197022</v>
      </c>
      <c r="BA24">
        <v>15</v>
      </c>
      <c r="BB24">
        <f>IF(BA24*12&gt;$AX$2,0,INDEX($AB$9:$AB$608,BA24*12))</f>
        <v>222125.36256503829</v>
      </c>
      <c r="BC24">
        <f>IF(BA24*12&gt;$AX$8,0,INDEX($AP$9:$AP$608,BA24*12))</f>
        <v>32922.478066444739</v>
      </c>
      <c r="BD24">
        <f>IF(BA24*12&gt;$AX$8,$AX$9,INDEX($AT$9:$AT$608,BA24*12))</f>
        <v>248452.27700661522</v>
      </c>
      <c r="BE24">
        <f>IF(BA24*12&gt;$AX$8,$C$10,INDEX($AU$9:$AU$608,BA24*12))</f>
        <v>247077.52193355514</v>
      </c>
    </row>
    <row r="25" spans="1:57" ht="21" customHeight="1" thickBot="1">
      <c r="A25" s="33" t="s">
        <v>41</v>
      </c>
      <c r="B25" s="34">
        <f>$AX$7</f>
        <v>806553.71122545714</v>
      </c>
      <c r="C25" s="35">
        <f>$AX$10</f>
        <v>523059.23221462709</v>
      </c>
      <c r="D25" s="36">
        <f>$AX$7-$AX$10</f>
        <v>283494.47901083005</v>
      </c>
      <c r="E25" s="17"/>
      <c r="F25" s="19"/>
      <c r="G25" s="19"/>
      <c r="H25" s="19"/>
      <c r="I25" s="19"/>
      <c r="J25" s="19"/>
      <c r="K25" s="19"/>
      <c r="AA25">
        <f t="shared" si="2"/>
        <v>17</v>
      </c>
      <c r="AB25">
        <f t="shared" si="3"/>
        <v>277237.95455253666</v>
      </c>
      <c r="AC25">
        <f t="shared" si="4"/>
        <v>2080.5774035730674</v>
      </c>
      <c r="AD25">
        <f t="shared" si="5"/>
        <v>2252.9433274453913</v>
      </c>
      <c r="AE25">
        <f t="shared" si="0"/>
        <v>172.36592387232395</v>
      </c>
      <c r="AF25">
        <f t="shared" si="6"/>
        <v>35537.991119108287</v>
      </c>
      <c r="AG25">
        <f t="shared" si="7"/>
        <v>2762.0454474633666</v>
      </c>
      <c r="AO25">
        <f t="shared" si="8"/>
        <v>17</v>
      </c>
      <c r="AP25">
        <f t="shared" si="9"/>
        <v>268208.31758308609</v>
      </c>
      <c r="AQ25">
        <f t="shared" si="10"/>
        <v>2017.081346728522</v>
      </c>
      <c r="AR25">
        <f t="shared" si="11"/>
        <v>2752.9433274453913</v>
      </c>
      <c r="AS25">
        <f t="shared" si="1"/>
        <v>735.86198071686931</v>
      </c>
      <c r="AT25">
        <f t="shared" si="12"/>
        <v>35008.35414965776</v>
      </c>
      <c r="AU25">
        <f t="shared" si="13"/>
        <v>11791.682416913891</v>
      </c>
      <c r="BA25">
        <v>16</v>
      </c>
      <c r="BB25">
        <f>IF(BA25*12&gt;$AX$2,0,INDEX($AB$9:$AB$608,BA25*12))</f>
        <v>214783.37049781432</v>
      </c>
      <c r="BC25">
        <f>IF(BA25*12&gt;$AX$8,0,INDEX($AP$9:$AP$608,BA25*12))</f>
        <v>1578.1571959408493</v>
      </c>
      <c r="BD25">
        <f>IF(BA25*12&gt;$AX$8,$AX$9,INDEX($AT$9:$AT$608,BA25*12))</f>
        <v>250143.27606545601</v>
      </c>
      <c r="BE25">
        <f>IF(BA25*12&gt;$AX$8,$C$10,INDEX($AU$9:$AU$608,BA25*12))</f>
        <v>278421.84280405904</v>
      </c>
    </row>
    <row r="26" spans="1:57" ht="21" customHeight="1" thickBot="1">
      <c r="A26" s="33" t="s">
        <v>42</v>
      </c>
      <c r="B26" s="37">
        <f>$AX$2</f>
        <v>361</v>
      </c>
      <c r="C26" s="38">
        <f>$AX$8</f>
        <v>193</v>
      </c>
      <c r="D26" s="39">
        <f>$AX$2-$AX$8</f>
        <v>168</v>
      </c>
      <c r="E26" s="17"/>
      <c r="F26" s="19"/>
      <c r="G26" s="19"/>
      <c r="H26" s="19"/>
      <c r="I26" s="19"/>
      <c r="J26" s="19"/>
      <c r="K26" s="19"/>
      <c r="AA26">
        <f t="shared" si="2"/>
        <v>18</v>
      </c>
      <c r="AB26">
        <f t="shared" si="3"/>
        <v>277064.2958842353</v>
      </c>
      <c r="AC26">
        <f t="shared" si="4"/>
        <v>2079.2846591440248</v>
      </c>
      <c r="AD26">
        <f t="shared" si="5"/>
        <v>2252.9433274453913</v>
      </c>
      <c r="AE26">
        <f t="shared" si="0"/>
        <v>173.65866830136656</v>
      </c>
      <c r="AF26">
        <f t="shared" si="6"/>
        <v>37617.275778252311</v>
      </c>
      <c r="AG26">
        <f t="shared" si="7"/>
        <v>2935.7041157647332</v>
      </c>
      <c r="AO26">
        <f t="shared" si="8"/>
        <v>18</v>
      </c>
      <c r="AP26">
        <f t="shared" si="9"/>
        <v>267466.93663751386</v>
      </c>
      <c r="AQ26">
        <f t="shared" si="10"/>
        <v>2011.5623818731456</v>
      </c>
      <c r="AR26">
        <f t="shared" si="11"/>
        <v>2752.9433274453913</v>
      </c>
      <c r="AS26">
        <f t="shared" si="1"/>
        <v>741.38094557224576</v>
      </c>
      <c r="AT26">
        <f t="shared" si="12"/>
        <v>37019.916531530907</v>
      </c>
      <c r="AU26">
        <f t="shared" si="13"/>
        <v>12533.063362486137</v>
      </c>
      <c r="BA26">
        <v>17</v>
      </c>
      <c r="BB26">
        <f>IF(BA26*12&gt;$AX$2,0,INDEX($AB$9:$AB$608,BA26*12))</f>
        <v>206752.64893203913</v>
      </c>
      <c r="BC26">
        <f>IF(BA26*12&gt;$AX$8,0,INDEX($AP$9:$AP$608,BA26*12))</f>
        <v>0</v>
      </c>
      <c r="BD26">
        <f>IF(BA26*12&gt;$AX$8,$AX$9,INDEX($AT$9:$AT$608,BA26*12))</f>
        <v>250058.53981534846</v>
      </c>
      <c r="BE26">
        <f>IF(BA26*12&gt;$AX$8,$C$10,INDEX($AU$9:$AU$608,BA26*12))</f>
        <v>280000</v>
      </c>
    </row>
    <row r="27" spans="1:57" ht="21" customHeight="1" thickBot="1">
      <c r="A27" s="33" t="s">
        <v>22</v>
      </c>
      <c r="B27" s="40">
        <f>$AX$2/12</f>
        <v>30.083333333333332</v>
      </c>
      <c r="C27" s="41">
        <f>$AX$8/12</f>
        <v>16.083333333333332</v>
      </c>
      <c r="D27" s="42">
        <f>($AX$2-$AX$8)/12</f>
        <v>14</v>
      </c>
      <c r="E27" s="17"/>
      <c r="F27" s="19"/>
      <c r="G27" s="19"/>
      <c r="H27" s="19"/>
      <c r="I27" s="19"/>
      <c r="J27" s="19"/>
      <c r="K27" s="19"/>
      <c r="AA27">
        <f t="shared" si="2"/>
        <v>19</v>
      </c>
      <c r="AB27">
        <f t="shared" si="3"/>
        <v>276889.33477592166</v>
      </c>
      <c r="AC27">
        <f t="shared" si="4"/>
        <v>2077.9822191317649</v>
      </c>
      <c r="AD27">
        <f t="shared" si="5"/>
        <v>2252.9433274453913</v>
      </c>
      <c r="AE27">
        <f t="shared" si="0"/>
        <v>174.96110831362648</v>
      </c>
      <c r="AF27">
        <f t="shared" si="6"/>
        <v>39695.257997384077</v>
      </c>
      <c r="AG27">
        <f t="shared" si="7"/>
        <v>3110.6652240783596</v>
      </c>
      <c r="AO27">
        <f t="shared" si="8"/>
        <v>19</v>
      </c>
      <c r="AP27">
        <f t="shared" si="9"/>
        <v>266719.99533484981</v>
      </c>
      <c r="AQ27">
        <f t="shared" si="10"/>
        <v>2006.0020247813538</v>
      </c>
      <c r="AR27">
        <f t="shared" si="11"/>
        <v>2752.9433274453913</v>
      </c>
      <c r="AS27">
        <f t="shared" si="1"/>
        <v>746.94130266403749</v>
      </c>
      <c r="AT27">
        <f t="shared" si="12"/>
        <v>39025.918556312259</v>
      </c>
      <c r="AU27">
        <f t="shared" si="13"/>
        <v>13280.004665150174</v>
      </c>
      <c r="BA27">
        <v>18</v>
      </c>
      <c r="BB27">
        <f>IF(BA27*12&gt;$AX$2,0,INDEX($AB$9:$AB$608,BA27*12))</f>
        <v>197968.59029011906</v>
      </c>
      <c r="BC27">
        <f>IF(BA27*12&gt;$AX$8,0,INDEX($AP$9:$AP$608,BA27*12))</f>
        <v>0</v>
      </c>
      <c r="BD27">
        <f>IF(BA27*12&gt;$AX$8,$AX$9,INDEX($AT$9:$AT$608,BA27*12))</f>
        <v>250058.53981534846</v>
      </c>
      <c r="BE27">
        <f>IF(BA27*12&gt;$AX$8,$C$10,INDEX($AU$9:$AU$608,BA27*12))</f>
        <v>280000</v>
      </c>
    </row>
    <row r="28" spans="1:57" ht="21" customHeight="1">
      <c r="A28" s="19"/>
      <c r="B28" s="19"/>
      <c r="C28" s="19"/>
      <c r="D28" s="19"/>
      <c r="E28" s="17"/>
      <c r="F28" s="19"/>
      <c r="G28" s="19"/>
      <c r="H28" s="19"/>
      <c r="I28" s="19"/>
      <c r="J28" s="19"/>
      <c r="K28" s="19"/>
      <c r="AA28">
        <f t="shared" si="2"/>
        <v>20</v>
      </c>
      <c r="AB28">
        <f t="shared" si="3"/>
        <v>276713.06145929568</v>
      </c>
      <c r="AC28">
        <f t="shared" si="4"/>
        <v>2076.6700108194123</v>
      </c>
      <c r="AD28">
        <f t="shared" si="5"/>
        <v>2252.9433274453913</v>
      </c>
      <c r="AE28">
        <f t="shared" si="0"/>
        <v>176.27331662597908</v>
      </c>
      <c r="AF28">
        <f t="shared" si="6"/>
        <v>41771.928008203489</v>
      </c>
      <c r="AG28">
        <f t="shared" si="7"/>
        <v>3286.9385407043387</v>
      </c>
      <c r="AO28">
        <f t="shared" si="8"/>
        <v>20</v>
      </c>
      <c r="AP28">
        <f t="shared" si="9"/>
        <v>265967.45197241579</v>
      </c>
      <c r="AQ28">
        <f t="shared" si="10"/>
        <v>2000.3999650113735</v>
      </c>
      <c r="AR28">
        <f t="shared" si="11"/>
        <v>2752.9433274453913</v>
      </c>
      <c r="AS28">
        <f t="shared" si="1"/>
        <v>752.54336243401781</v>
      </c>
      <c r="AT28">
        <f t="shared" si="12"/>
        <v>41026.318521323636</v>
      </c>
      <c r="AU28">
        <f t="shared" si="13"/>
        <v>14032.548027584193</v>
      </c>
      <c r="BA28">
        <v>19</v>
      </c>
      <c r="BB28">
        <f>IF(BA28*12&gt;$AX$2,0,INDEX($AB$9:$AB$608,BA28*12))</f>
        <v>188360.52635804052</v>
      </c>
      <c r="BC28">
        <f>IF(BA28*12&gt;$AX$8,0,INDEX($AP$9:$AP$608,BA28*12))</f>
        <v>0</v>
      </c>
      <c r="BD28">
        <f>IF(BA28*12&gt;$AX$8,$AX$9,INDEX($AT$9:$AT$608,BA28*12))</f>
        <v>250058.53981534846</v>
      </c>
      <c r="BE28">
        <f>IF(BA28*12&gt;$AX$8,$C$10,INDEX($AU$9:$AU$608,BA28*12))</f>
        <v>280000</v>
      </c>
    </row>
    <row r="29" spans="1:57" ht="21" customHeight="1">
      <c r="A29" s="17"/>
      <c r="B29" s="17"/>
      <c r="C29" s="17"/>
      <c r="D29" s="17"/>
      <c r="E29" s="17"/>
      <c r="F29" s="19"/>
      <c r="G29" s="19"/>
      <c r="H29" s="19"/>
      <c r="I29" s="19"/>
      <c r="J29" s="19"/>
      <c r="K29" s="19"/>
      <c r="AA29">
        <f t="shared" si="2"/>
        <v>21</v>
      </c>
      <c r="AB29">
        <f t="shared" si="3"/>
        <v>276535.46609279502</v>
      </c>
      <c r="AC29">
        <f t="shared" si="4"/>
        <v>2075.3479609447177</v>
      </c>
      <c r="AD29">
        <f t="shared" si="5"/>
        <v>2252.9433274453913</v>
      </c>
      <c r="AE29">
        <f t="shared" si="0"/>
        <v>177.59536650067366</v>
      </c>
      <c r="AF29">
        <f t="shared" si="6"/>
        <v>43847.275969148206</v>
      </c>
      <c r="AG29">
        <f t="shared" si="7"/>
        <v>3464.5339072050124</v>
      </c>
      <c r="AO29">
        <f t="shared" si="8"/>
        <v>21</v>
      </c>
      <c r="AP29">
        <f t="shared" si="9"/>
        <v>265209.26453476353</v>
      </c>
      <c r="AQ29">
        <f t="shared" si="10"/>
        <v>1994.7558897931183</v>
      </c>
      <c r="AR29">
        <f t="shared" si="11"/>
        <v>2752.9433274453913</v>
      </c>
      <c r="AS29">
        <f t="shared" si="1"/>
        <v>758.18743765227305</v>
      </c>
      <c r="AT29">
        <f t="shared" si="12"/>
        <v>43021.074411116751</v>
      </c>
      <c r="AU29">
        <f t="shared" si="13"/>
        <v>14790.735465236467</v>
      </c>
      <c r="BA29">
        <v>20</v>
      </c>
      <c r="BB29">
        <f>IF(BA29*12&gt;$AX$2,0,INDEX($AB$9:$AB$608,BA29*12))</f>
        <v>177851.15975586916</v>
      </c>
      <c r="BC29">
        <f>IF(BA29*12&gt;$AX$8,0,INDEX($AP$9:$AP$608,BA29*12))</f>
        <v>0</v>
      </c>
      <c r="BD29">
        <f>IF(BA29*12&gt;$AX$8,$AX$9,INDEX($AT$9:$AT$608,BA29*12))</f>
        <v>250058.53981534846</v>
      </c>
      <c r="BE29">
        <f>IF(BA29*12&gt;$AX$8,$C$10,INDEX($AU$9:$AU$608,BA29*12))</f>
        <v>280000</v>
      </c>
    </row>
    <row r="30" spans="1:57" ht="24" customHeight="1">
      <c r="A30" s="31" t="s">
        <v>43</v>
      </c>
      <c r="B30" s="19"/>
      <c r="C30" s="19"/>
      <c r="D30" s="19"/>
      <c r="E30" s="17"/>
      <c r="F30" s="19"/>
      <c r="G30" s="19"/>
      <c r="H30" s="19"/>
      <c r="I30" s="19"/>
      <c r="J30" s="19"/>
      <c r="K30" s="19"/>
      <c r="AA30">
        <f t="shared" si="2"/>
        <v>22</v>
      </c>
      <c r="AB30">
        <f t="shared" si="3"/>
        <v>276356.53876104561</v>
      </c>
      <c r="AC30">
        <f t="shared" si="4"/>
        <v>2074.0159956959624</v>
      </c>
      <c r="AD30">
        <f t="shared" si="5"/>
        <v>2252.9433274453913</v>
      </c>
      <c r="AE30">
        <f t="shared" si="0"/>
        <v>178.92733174942896</v>
      </c>
      <c r="AF30">
        <f t="shared" si="6"/>
        <v>45921.291964844168</v>
      </c>
      <c r="AG30">
        <f t="shared" si="7"/>
        <v>3643.4612389544413</v>
      </c>
      <c r="AO30">
        <f t="shared" si="8"/>
        <v>22</v>
      </c>
      <c r="AP30">
        <f t="shared" si="9"/>
        <v>264445.39069132885</v>
      </c>
      <c r="AQ30">
        <f t="shared" si="10"/>
        <v>1989.0694840107265</v>
      </c>
      <c r="AR30">
        <f t="shared" si="11"/>
        <v>2752.9433274453913</v>
      </c>
      <c r="AS30">
        <f t="shared" si="1"/>
        <v>763.87384343466488</v>
      </c>
      <c r="AT30">
        <f t="shared" si="12"/>
        <v>45010.143895127476</v>
      </c>
      <c r="AU30">
        <f t="shared" si="13"/>
        <v>15554.609308671132</v>
      </c>
      <c r="BA30">
        <v>21</v>
      </c>
      <c r="BB30">
        <f>IF(BA30*12&gt;$AX$2,0,INDEX($AB$9:$AB$608,BA30*12))</f>
        <v>166355.94207626116</v>
      </c>
      <c r="BC30">
        <f>IF(BA30*12&gt;$AX$8,0,INDEX($AP$9:$AP$608,BA30*12))</f>
        <v>0</v>
      </c>
      <c r="BD30">
        <f>IF(BA30*12&gt;$AX$8,$AX$9,INDEX($AT$9:$AT$608,BA30*12))</f>
        <v>250058.53981534846</v>
      </c>
      <c r="BE30">
        <f>IF(BA30*12&gt;$AX$8,$C$10,INDEX($AU$9:$AU$608,BA30*12))</f>
        <v>280000</v>
      </c>
    </row>
    <row r="31" spans="1:57" ht="21" customHeight="1">
      <c r="A31" s="19"/>
      <c r="B31" s="19"/>
      <c r="C31" s="19"/>
      <c r="D31" s="19"/>
      <c r="E31" s="17"/>
      <c r="F31" s="19"/>
      <c r="G31" s="19"/>
      <c r="H31" s="19"/>
      <c r="I31" s="19"/>
      <c r="J31" s="19"/>
      <c r="K31" s="19"/>
      <c r="AA31">
        <f t="shared" si="2"/>
        <v>23</v>
      </c>
      <c r="AB31">
        <f t="shared" si="3"/>
        <v>276176.26947430806</v>
      </c>
      <c r="AC31">
        <f t="shared" si="4"/>
        <v>2072.6740407078419</v>
      </c>
      <c r="AD31">
        <f t="shared" si="5"/>
        <v>2252.9433274453913</v>
      </c>
      <c r="AE31">
        <f t="shared" si="0"/>
        <v>180.26928673754946</v>
      </c>
      <c r="AF31">
        <f t="shared" si="6"/>
        <v>47993.966005552007</v>
      </c>
      <c r="AG31">
        <f t="shared" si="7"/>
        <v>3823.7305256919908</v>
      </c>
      <c r="AO31">
        <f t="shared" si="8"/>
        <v>23</v>
      </c>
      <c r="AP31">
        <f t="shared" si="9"/>
        <v>263675.78779406846</v>
      </c>
      <c r="AQ31">
        <f t="shared" si="10"/>
        <v>1983.3404301849664</v>
      </c>
      <c r="AR31">
        <f t="shared" si="11"/>
        <v>2752.9433274453913</v>
      </c>
      <c r="AS31">
        <f t="shared" si="1"/>
        <v>769.60289726042492</v>
      </c>
      <c r="AT31">
        <f t="shared" si="12"/>
        <v>46993.484325312442</v>
      </c>
      <c r="AU31">
        <f t="shared" si="13"/>
        <v>16324.212205931557</v>
      </c>
      <c r="BA31">
        <v>22</v>
      </c>
      <c r="BB31">
        <f>IF(BA31*12&gt;$AX$2,0,INDEX($AB$9:$AB$608,BA31*12))</f>
        <v>153782.39368807644</v>
      </c>
      <c r="BC31">
        <f>IF(BA31*12&gt;$AX$8,0,INDEX($AP$9:$AP$608,BA31*12))</f>
        <v>0</v>
      </c>
      <c r="BD31">
        <f>IF(BA31*12&gt;$AX$8,$AX$9,INDEX($AT$9:$AT$608,BA31*12))</f>
        <v>250058.53981534846</v>
      </c>
      <c r="BE31">
        <f>IF(BA31*12&gt;$AX$8,$C$10,INDEX($AU$9:$AU$608,BA31*12))</f>
        <v>280000</v>
      </c>
    </row>
    <row r="32" spans="1:57" ht="21" customHeight="1">
      <c r="A32" s="19" t="s">
        <v>44</v>
      </c>
      <c r="B32" s="19" t="s">
        <v>45</v>
      </c>
      <c r="C32" s="19"/>
      <c r="D32" s="19"/>
      <c r="E32" s="17"/>
      <c r="F32" s="19"/>
      <c r="G32" s="19"/>
      <c r="H32" s="19"/>
      <c r="I32" s="19"/>
      <c r="J32" s="19"/>
      <c r="K32" s="19"/>
      <c r="AA32">
        <f t="shared" si="2"/>
        <v>24</v>
      </c>
      <c r="AB32">
        <f t="shared" si="3"/>
        <v>275994.64816792001</v>
      </c>
      <c r="AC32">
        <f t="shared" si="4"/>
        <v>2071.3220210573104</v>
      </c>
      <c r="AD32">
        <f t="shared" si="5"/>
        <v>2252.9433274453913</v>
      </c>
      <c r="AE32">
        <f t="shared" si="0"/>
        <v>181.62130638808094</v>
      </c>
      <c r="AF32">
        <f t="shared" si="6"/>
        <v>50065.28802660932</v>
      </c>
      <c r="AG32">
        <f t="shared" si="7"/>
        <v>4005.3518320800717</v>
      </c>
      <c r="AO32">
        <f t="shared" si="8"/>
        <v>24</v>
      </c>
      <c r="AP32">
        <f t="shared" si="9"/>
        <v>262900.41287507856</v>
      </c>
      <c r="AQ32">
        <f t="shared" si="10"/>
        <v>1977.5684084555132</v>
      </c>
      <c r="AR32">
        <f t="shared" si="11"/>
        <v>2752.9433274453913</v>
      </c>
      <c r="AS32">
        <f t="shared" si="1"/>
        <v>775.3749189898781</v>
      </c>
      <c r="AT32">
        <f t="shared" si="12"/>
        <v>48971.052733767952</v>
      </c>
      <c r="AU32">
        <f t="shared" si="13"/>
        <v>17099.587124921436</v>
      </c>
      <c r="BA32">
        <v>23</v>
      </c>
      <c r="BB32">
        <f>IF(BA32*12&gt;$AX$2,0,INDEX($AB$9:$AB$608,BA32*12))</f>
        <v>140029.35973288014</v>
      </c>
      <c r="BC32">
        <f>IF(BA32*12&gt;$AX$8,0,INDEX($AP$9:$AP$608,BA32*12))</f>
        <v>0</v>
      </c>
      <c r="BD32">
        <f>IF(BA32*12&gt;$AX$8,$AX$9,INDEX($AT$9:$AT$608,BA32*12))</f>
        <v>250058.53981534846</v>
      </c>
      <c r="BE32">
        <f>IF(BA32*12&gt;$AX$8,$C$10,INDEX($AU$9:$AU$608,BA32*12))</f>
        <v>280000</v>
      </c>
    </row>
    <row r="33" spans="1:57" ht="21" customHeight="1">
      <c r="A33" s="19" t="s">
        <v>46</v>
      </c>
      <c r="B33" s="43">
        <f>$C$10</f>
        <v>280000</v>
      </c>
      <c r="C33" s="19"/>
      <c r="D33" s="19"/>
      <c r="E33" s="17"/>
      <c r="F33" s="19"/>
      <c r="G33" s="19"/>
      <c r="H33" s="19"/>
      <c r="I33" s="19"/>
      <c r="J33" s="19"/>
      <c r="K33" s="19"/>
      <c r="AA33">
        <f t="shared" si="2"/>
        <v>25</v>
      </c>
      <c r="AB33">
        <f t="shared" si="3"/>
        <v>275811.66470173403</v>
      </c>
      <c r="AC33">
        <f t="shared" si="4"/>
        <v>2069.9598612594</v>
      </c>
      <c r="AD33">
        <f t="shared" si="5"/>
        <v>2252.9433274453913</v>
      </c>
      <c r="AE33">
        <f t="shared" si="0"/>
        <v>182.98346618599135</v>
      </c>
      <c r="AF33">
        <f t="shared" si="6"/>
        <v>52135.247887868718</v>
      </c>
      <c r="AG33">
        <f t="shared" si="7"/>
        <v>4188.3352982660635</v>
      </c>
      <c r="AO33">
        <f t="shared" si="8"/>
        <v>25</v>
      </c>
      <c r="AP33">
        <f t="shared" si="9"/>
        <v>262119.22264419627</v>
      </c>
      <c r="AQ33">
        <f t="shared" si="10"/>
        <v>1971.7530965630892</v>
      </c>
      <c r="AR33">
        <f t="shared" si="11"/>
        <v>2752.9433274453913</v>
      </c>
      <c r="AS33">
        <f t="shared" si="1"/>
        <v>781.1902308823021</v>
      </c>
      <c r="AT33">
        <f t="shared" si="12"/>
        <v>50942.805830331039</v>
      </c>
      <c r="AU33">
        <f t="shared" si="13"/>
        <v>17880.777355803737</v>
      </c>
      <c r="BA33">
        <v>24</v>
      </c>
      <c r="BB33">
        <f>IF(BA33*12&gt;$AX$2,0,INDEX($AB$9:$AB$608,BA33*12))</f>
        <v>124986.19632878316</v>
      </c>
      <c r="BC33">
        <f>IF(BA33*12&gt;$AX$8,0,INDEX($AP$9:$AP$608,BA33*12))</f>
        <v>0</v>
      </c>
      <c r="BD33">
        <f>IF(BA33*12&gt;$AX$8,$AX$9,INDEX($AT$9:$AT$608,BA33*12))</f>
        <v>250058.53981534846</v>
      </c>
      <c r="BE33">
        <f>IF(BA33*12&gt;$AX$8,$C$10,INDEX($AU$9:$AU$608,BA33*12))</f>
        <v>280000</v>
      </c>
    </row>
    <row r="34" spans="1:57" ht="21" customHeight="1" thickBot="1">
      <c r="A34" s="19" t="s">
        <v>7</v>
      </c>
      <c r="B34" s="43">
        <f>$AX$9</f>
        <v>250058.53981534846</v>
      </c>
      <c r="C34" s="19"/>
      <c r="D34" s="19"/>
      <c r="E34" s="17"/>
      <c r="F34" s="19"/>
      <c r="G34" s="19"/>
      <c r="H34" s="19"/>
      <c r="I34" s="19"/>
      <c r="J34" s="19"/>
      <c r="K34" s="19"/>
      <c r="AA34">
        <f t="shared" si="2"/>
        <v>26</v>
      </c>
      <c r="AB34">
        <f t="shared" si="3"/>
        <v>275627.30885955162</v>
      </c>
      <c r="AC34">
        <f t="shared" si="4"/>
        <v>2068.587485263005</v>
      </c>
      <c r="AD34">
        <f t="shared" si="5"/>
        <v>2252.9433274453913</v>
      </c>
      <c r="AE34">
        <f t="shared" si="0"/>
        <v>184.35584218238637</v>
      </c>
      <c r="AF34">
        <f t="shared" si="6"/>
        <v>54203.835373131726</v>
      </c>
      <c r="AG34">
        <f t="shared" si="7"/>
        <v>4372.6911404484499</v>
      </c>
      <c r="AO34">
        <f t="shared" si="8"/>
        <v>26</v>
      </c>
      <c r="AP34">
        <f t="shared" si="9"/>
        <v>261332.17348658235</v>
      </c>
      <c r="AQ34">
        <f t="shared" si="10"/>
        <v>1965.894169831472</v>
      </c>
      <c r="AR34">
        <f t="shared" si="11"/>
        <v>2752.9433274453913</v>
      </c>
      <c r="AS34">
        <f t="shared" si="1"/>
        <v>787.04915761391931</v>
      </c>
      <c r="AT34">
        <f t="shared" si="12"/>
        <v>52908.700000162513</v>
      </c>
      <c r="AU34">
        <f t="shared" si="13"/>
        <v>18667.826513417654</v>
      </c>
      <c r="BA34">
        <v>25</v>
      </c>
      <c r="BB34">
        <f>IF(BA34*12&gt;$AX$2,0,INDEX($AB$9:$AB$608,BA34*12))</f>
        <v>108531.88043459019</v>
      </c>
      <c r="BC34">
        <f>IF(BA34*12&gt;$AX$8,0,INDEX($AP$9:$AP$608,BA34*12))</f>
        <v>0</v>
      </c>
      <c r="BD34">
        <f>IF(BA34*12&gt;$AX$8,$AX$9,INDEX($AT$9:$AT$608,BA34*12))</f>
        <v>250058.53981534846</v>
      </c>
      <c r="BE34">
        <f>IF(BA34*12&gt;$AX$8,$C$10,INDEX($AU$9:$AU$608,BA34*12))</f>
        <v>280000</v>
      </c>
    </row>
    <row r="35" spans="1:57" ht="21" customHeight="1" thickBot="1">
      <c r="A35" s="19"/>
      <c r="B35" s="19"/>
      <c r="C35" s="19"/>
      <c r="D35" s="19"/>
      <c r="E35" s="17"/>
      <c r="F35" s="19"/>
      <c r="G35" s="19"/>
      <c r="H35" s="19"/>
      <c r="I35" s="19"/>
      <c r="J35" s="19"/>
      <c r="K35" s="19"/>
      <c r="AA35">
        <f t="shared" si="2"/>
        <v>27</v>
      </c>
      <c r="AB35">
        <f t="shared" si="3"/>
        <v>275441.57034855284</v>
      </c>
      <c r="AC35">
        <f t="shared" si="4"/>
        <v>2067.2048164466369</v>
      </c>
      <c r="AD35">
        <f t="shared" si="5"/>
        <v>2252.9433274453913</v>
      </c>
      <c r="AE35">
        <f t="shared" si="0"/>
        <v>185.73851099875446</v>
      </c>
      <c r="AF35">
        <f t="shared" si="6"/>
        <v>56271.040189578365</v>
      </c>
      <c r="AG35">
        <f t="shared" si="7"/>
        <v>4558.4296514472044</v>
      </c>
      <c r="AO35">
        <f t="shared" si="8"/>
        <v>27</v>
      </c>
      <c r="AP35">
        <f t="shared" si="9"/>
        <v>260539.22146028632</v>
      </c>
      <c r="AQ35">
        <f t="shared" si="10"/>
        <v>1959.9913011493675</v>
      </c>
      <c r="AR35">
        <f t="shared" si="11"/>
        <v>2752.9433274453913</v>
      </c>
      <c r="AS35">
        <f t="shared" si="1"/>
        <v>792.95202629602386</v>
      </c>
      <c r="AT35">
        <f t="shared" si="12"/>
        <v>54868.691301311883</v>
      </c>
      <c r="AU35">
        <f t="shared" si="13"/>
        <v>19460.778539713679</v>
      </c>
      <c r="BA35">
        <v>26</v>
      </c>
      <c r="BB35">
        <f>IF(BA35*12&gt;$AX$2,0,INDEX($AB$9:$AB$608,BA35*12))</f>
        <v>90534.036213064654</v>
      </c>
      <c r="BC35">
        <f>IF(BA35*12&gt;$AX$8,0,INDEX($AP$9:$AP$608,BA35*12))</f>
        <v>0</v>
      </c>
      <c r="BD35" s="18">
        <f>IF(BA35*12&gt;$AX$8,$AX$9,INDEX($AT$9:$AT$608,BA35*12))</f>
        <v>250058.53981534846</v>
      </c>
      <c r="BE35" s="20">
        <f>IF(BA35*12&gt;$AX$8,$C$10,INDEX($AU$9:$AU$608,BA35*12))</f>
        <v>280000</v>
      </c>
    </row>
    <row r="36" spans="1:57" ht="21" customHeight="1" thickBot="1">
      <c r="A36" s="19"/>
      <c r="B36" s="19"/>
      <c r="C36" s="19"/>
      <c r="D36" s="19"/>
      <c r="E36" s="17"/>
      <c r="F36" s="19"/>
      <c r="G36" s="19"/>
      <c r="H36" s="19"/>
      <c r="I36" s="19"/>
      <c r="J36" s="19"/>
      <c r="K36" s="19"/>
      <c r="AA36">
        <f t="shared" si="2"/>
        <v>28</v>
      </c>
      <c r="AB36">
        <f t="shared" si="3"/>
        <v>275254.43879872159</v>
      </c>
      <c r="AC36">
        <f t="shared" si="4"/>
        <v>2065.8117776141462</v>
      </c>
      <c r="AD36">
        <f t="shared" si="5"/>
        <v>2252.9433274453913</v>
      </c>
      <c r="AE36">
        <f t="shared" si="0"/>
        <v>187.13154983124514</v>
      </c>
      <c r="AF36">
        <f t="shared" si="6"/>
        <v>58336.85196719251</v>
      </c>
      <c r="AG36">
        <f t="shared" si="7"/>
        <v>4745.5612012784495</v>
      </c>
      <c r="AO36">
        <f t="shared" si="8"/>
        <v>28</v>
      </c>
      <c r="AP36">
        <f t="shared" si="9"/>
        <v>259740.32229379308</v>
      </c>
      <c r="AQ36">
        <f t="shared" si="10"/>
        <v>1954.0441609521474</v>
      </c>
      <c r="AR36">
        <f t="shared" si="11"/>
        <v>2752.9433274453913</v>
      </c>
      <c r="AS36">
        <f t="shared" si="1"/>
        <v>798.89916649324391</v>
      </c>
      <c r="AT36">
        <f t="shared" si="12"/>
        <v>56822.735462264027</v>
      </c>
      <c r="AU36">
        <f t="shared" si="13"/>
        <v>20259.677706206923</v>
      </c>
      <c r="BA36">
        <v>27</v>
      </c>
      <c r="BB36">
        <f>IF(BA36*12&gt;$AX$2,0,INDEX($AB$9:$AB$608,BA36*12))</f>
        <v>70847.870060352157</v>
      </c>
      <c r="BC36">
        <f>IF(BA36*12&gt;$AX$8,0,INDEX($AP$9:$AP$608,BA36*12))</f>
        <v>0</v>
      </c>
      <c r="BD36" s="18">
        <f>IF(BA36*12&gt;$AX$8,$AX$9,INDEX($AT$9:$AT$608,BA36*12))</f>
        <v>250058.53981534846</v>
      </c>
      <c r="BE36" s="20">
        <f>IF(BA36*12&gt;$AX$8,$C$10,INDEX($AU$9:$AU$608,BA36*12))</f>
        <v>280000</v>
      </c>
    </row>
    <row r="37" spans="1:57" ht="21" customHeight="1" thickBot="1">
      <c r="A37" s="19"/>
      <c r="B37" s="19"/>
      <c r="C37" s="19"/>
      <c r="D37" s="19"/>
      <c r="E37" s="17"/>
      <c r="F37" s="19"/>
      <c r="G37" s="19"/>
      <c r="H37" s="19"/>
      <c r="I37" s="19"/>
      <c r="J37" s="19"/>
      <c r="K37" s="19"/>
      <c r="AA37">
        <f t="shared" si="2"/>
        <v>29</v>
      </c>
      <c r="AB37">
        <f t="shared" si="3"/>
        <v>275065.90376226662</v>
      </c>
      <c r="AC37">
        <f t="shared" si="4"/>
        <v>2064.4082909904118</v>
      </c>
      <c r="AD37">
        <f t="shared" si="5"/>
        <v>2252.9433274453913</v>
      </c>
      <c r="AE37">
        <f t="shared" si="0"/>
        <v>188.53503645497949</v>
      </c>
      <c r="AF37">
        <f t="shared" si="6"/>
        <v>60401.26025818292</v>
      </c>
      <c r="AG37">
        <f t="shared" si="7"/>
        <v>4934.096237733429</v>
      </c>
      <c r="AO37">
        <f t="shared" si="8"/>
        <v>29</v>
      </c>
      <c r="AP37">
        <f t="shared" si="9"/>
        <v>258935.43138355113</v>
      </c>
      <c r="AQ37">
        <f t="shared" si="10"/>
        <v>1948.0524172034482</v>
      </c>
      <c r="AR37">
        <f t="shared" si="11"/>
        <v>2752.9433274453913</v>
      </c>
      <c r="AS37">
        <f t="shared" si="1"/>
        <v>804.89091024194317</v>
      </c>
      <c r="AT37">
        <f t="shared" si="12"/>
        <v>58770.787879467476</v>
      </c>
      <c r="AU37">
        <f t="shared" si="13"/>
        <v>21064.568616448865</v>
      </c>
      <c r="BA37">
        <v>28</v>
      </c>
      <c r="BB37">
        <f>IF(BA37*12&gt;$AX$2,0,INDEX($AB$9:$AB$608,BA37*12))</f>
        <v>49315.005733818209</v>
      </c>
      <c r="BC37">
        <f>IF(BA37*12&gt;$AX$8,0,INDEX($AP$9:$AP$608,BA37*12))</f>
        <v>0</v>
      </c>
      <c r="BD37" s="18">
        <f>IF(BA37*12&gt;$AX$8,$AX$9,INDEX($AT$9:$AT$608,BA37*12))</f>
        <v>250058.53981534846</v>
      </c>
      <c r="BE37" s="20">
        <f>IF(BA37*12&gt;$AX$8,$C$10,INDEX($AU$9:$AU$608,BA37*12))</f>
        <v>280000</v>
      </c>
    </row>
    <row r="38" spans="1:57" ht="21" customHeight="1" thickBot="1">
      <c r="A38" s="19"/>
      <c r="B38" s="19"/>
      <c r="C38" s="19"/>
      <c r="D38" s="19"/>
      <c r="E38" s="17"/>
      <c r="F38" s="19"/>
      <c r="G38" s="19"/>
      <c r="H38" s="19"/>
      <c r="I38" s="19"/>
      <c r="J38" s="19"/>
      <c r="K38" s="19"/>
      <c r="AA38">
        <f t="shared" si="2"/>
        <v>30</v>
      </c>
      <c r="AB38">
        <f t="shared" si="3"/>
        <v>274875.95471303823</v>
      </c>
      <c r="AC38">
        <f t="shared" si="4"/>
        <v>2062.9942782169996</v>
      </c>
      <c r="AD38">
        <f t="shared" si="5"/>
        <v>2252.9433274453913</v>
      </c>
      <c r="AE38">
        <f t="shared" si="0"/>
        <v>189.94904922839169</v>
      </c>
      <c r="AF38">
        <f t="shared" si="6"/>
        <v>62464.254536399916</v>
      </c>
      <c r="AG38">
        <f t="shared" si="7"/>
        <v>5124.0452869618202</v>
      </c>
      <c r="AO38">
        <f t="shared" si="8"/>
        <v>30</v>
      </c>
      <c r="AP38">
        <f t="shared" si="9"/>
        <v>258124.50379148236</v>
      </c>
      <c r="AQ38">
        <f t="shared" si="10"/>
        <v>1942.0157353766333</v>
      </c>
      <c r="AR38">
        <f t="shared" si="11"/>
        <v>2752.9433274453913</v>
      </c>
      <c r="AS38">
        <f t="shared" si="1"/>
        <v>810.92759206875803</v>
      </c>
      <c r="AT38">
        <f t="shared" si="12"/>
        <v>60712.80361484411</v>
      </c>
      <c r="AU38">
        <f t="shared" si="13"/>
        <v>21875.496208517623</v>
      </c>
      <c r="BA38">
        <v>29</v>
      </c>
      <c r="BB38">
        <f>IF(BA38*12&gt;$AX$2,0,INDEX($AB$9:$AB$608,BA38*12))</f>
        <v>25762.210206841919</v>
      </c>
      <c r="BC38">
        <f>IF(BA38*12&gt;$AX$8,0,INDEX($AP$9:$AP$608,BA38*12))</f>
        <v>0</v>
      </c>
      <c r="BD38" s="18">
        <f>IF(BA38*12&gt;$AX$8,$AX$9,INDEX($AT$9:$AT$608,BA38*12))</f>
        <v>250058.53981534846</v>
      </c>
      <c r="BE38" s="20">
        <f>IF(BA38*12&gt;$AX$8,$C$10,INDEX($AU$9:$AU$608,BA38*12))</f>
        <v>280000</v>
      </c>
    </row>
    <row r="39" spans="1:57" ht="21" customHeight="1" thickBot="1">
      <c r="A39" s="19"/>
      <c r="B39" s="19"/>
      <c r="C39" s="19"/>
      <c r="D39" s="19"/>
      <c r="E39" s="17"/>
      <c r="F39" s="19"/>
      <c r="G39" s="19"/>
      <c r="H39" s="19"/>
      <c r="I39" s="19"/>
      <c r="J39" s="19"/>
      <c r="K39" s="19"/>
      <c r="AA39">
        <f t="shared" si="2"/>
        <v>31</v>
      </c>
      <c r="AB39">
        <f t="shared" si="3"/>
        <v>274684.58104594063</v>
      </c>
      <c r="AC39">
        <f t="shared" si="4"/>
        <v>2061.5696603477868</v>
      </c>
      <c r="AD39">
        <f t="shared" si="5"/>
        <v>2252.9433274453913</v>
      </c>
      <c r="AE39">
        <f t="shared" si="0"/>
        <v>191.37366709760454</v>
      </c>
      <c r="AF39">
        <f t="shared" si="6"/>
        <v>64525.824196747701</v>
      </c>
      <c r="AG39">
        <f t="shared" si="7"/>
        <v>5315.4189540594252</v>
      </c>
      <c r="AO39">
        <f t="shared" si="8"/>
        <v>31</v>
      </c>
      <c r="AP39">
        <f t="shared" si="9"/>
        <v>257307.4942424731</v>
      </c>
      <c r="AQ39">
        <f t="shared" si="10"/>
        <v>1935.9337784361176</v>
      </c>
      <c r="AR39">
        <f t="shared" si="11"/>
        <v>2752.9433274453913</v>
      </c>
      <c r="AS39">
        <f t="shared" si="1"/>
        <v>817.00954900927377</v>
      </c>
      <c r="AT39">
        <f t="shared" si="12"/>
        <v>62648.737393280229</v>
      </c>
      <c r="AU39">
        <f t="shared" si="13"/>
        <v>22692.505757526898</v>
      </c>
      <c r="BA39">
        <v>30</v>
      </c>
      <c r="BB39">
        <f>IF(BA39*12&gt;$AX$2,0,INDEX($AB$9:$AB$608,BA39*12))</f>
        <v>9.7134034149348736E-10</v>
      </c>
      <c r="BC39">
        <f>IF(BA39*12&gt;$AX$8,0,INDEX($AP$9:$AP$608,BA39*12))</f>
        <v>0</v>
      </c>
      <c r="BD39" s="18">
        <f>IF(BA39*12&gt;$AX$8,$AX$9,INDEX($AT$9:$AT$608,BA39*12))</f>
        <v>250058.53981534846</v>
      </c>
      <c r="BE39" s="20">
        <f>IF(BA39*12&gt;$AX$8,$C$10,INDEX($AU$9:$AU$608,BA39*12))</f>
        <v>280000</v>
      </c>
    </row>
    <row r="40" spans="1:57" ht="21" customHeight="1" thickBot="1">
      <c r="A40" s="19"/>
      <c r="B40" s="19"/>
      <c r="C40" s="19"/>
      <c r="D40" s="19"/>
      <c r="E40" s="17"/>
      <c r="F40" s="19"/>
      <c r="G40" s="19"/>
      <c r="H40" s="19"/>
      <c r="I40" s="19"/>
      <c r="J40" s="19"/>
      <c r="K40" s="19"/>
      <c r="AA40">
        <f t="shared" si="2"/>
        <v>32</v>
      </c>
      <c r="AB40">
        <f t="shared" si="3"/>
        <v>274491.77207633981</v>
      </c>
      <c r="AC40">
        <f t="shared" si="4"/>
        <v>2060.1343578445549</v>
      </c>
      <c r="AD40">
        <f t="shared" si="5"/>
        <v>2252.9433274453913</v>
      </c>
      <c r="AE40">
        <f t="shared" si="0"/>
        <v>192.80896960083646</v>
      </c>
      <c r="AF40">
        <f t="shared" si="6"/>
        <v>66585.95855459226</v>
      </c>
      <c r="AG40">
        <f t="shared" si="7"/>
        <v>5508.2279236602617</v>
      </c>
      <c r="AO40">
        <f t="shared" si="8"/>
        <v>32</v>
      </c>
      <c r="AP40">
        <f t="shared" si="9"/>
        <v>256484.35712184626</v>
      </c>
      <c r="AQ40">
        <f t="shared" si="10"/>
        <v>1929.8062068185482</v>
      </c>
      <c r="AR40">
        <f t="shared" si="11"/>
        <v>2752.9433274453913</v>
      </c>
      <c r="AS40">
        <f t="shared" si="1"/>
        <v>823.13712062684317</v>
      </c>
      <c r="AT40">
        <f t="shared" si="12"/>
        <v>64578.543600098776</v>
      </c>
      <c r="AU40">
        <f t="shared" si="13"/>
        <v>23515.64287815374</v>
      </c>
      <c r="BA40">
        <v>31</v>
      </c>
      <c r="BB40">
        <f>IF(BA40*12&gt;$AX$2,0,INDEX($AB$9:$AB$608,BA40*12))</f>
        <v>0</v>
      </c>
      <c r="BC40">
        <f>IF(BA40*12&gt;$AX$8,0,INDEX($AP$9:$AP$608,BA40*12))</f>
        <v>0</v>
      </c>
      <c r="BD40" s="18">
        <f>IF(BA40*12&gt;$AX$8,$AX$9,INDEX($AT$9:$AT$608,BA40*12))</f>
        <v>250058.53981534846</v>
      </c>
      <c r="BE40" s="20">
        <f>IF(BA40*12&gt;$AX$8,$C$10,INDEX($AU$9:$AU$608,BA40*12))</f>
        <v>280000</v>
      </c>
    </row>
    <row r="41" spans="1:57" ht="21" customHeight="1" thickBot="1">
      <c r="A41" s="19"/>
      <c r="B41" s="19"/>
      <c r="C41" s="19"/>
      <c r="D41" s="19"/>
      <c r="E41" s="17"/>
      <c r="F41" s="19"/>
      <c r="G41" s="19"/>
      <c r="H41" s="19"/>
      <c r="I41" s="19"/>
      <c r="J41" s="19"/>
      <c r="K41" s="19"/>
      <c r="AA41">
        <f t="shared" si="2"/>
        <v>33</v>
      </c>
      <c r="AB41">
        <f t="shared" si="3"/>
        <v>274297.51703946694</v>
      </c>
      <c r="AC41">
        <f t="shared" si="4"/>
        <v>2058.6882905725483</v>
      </c>
      <c r="AD41">
        <f t="shared" si="5"/>
        <v>2252.9433274453913</v>
      </c>
      <c r="AE41">
        <f t="shared" si="0"/>
        <v>194.25503687284299</v>
      </c>
      <c r="AF41">
        <f t="shared" si="6"/>
        <v>68644.646845164811</v>
      </c>
      <c r="AG41">
        <f t="shared" si="7"/>
        <v>5702.4829605331051</v>
      </c>
      <c r="AO41">
        <f t="shared" si="8"/>
        <v>33</v>
      </c>
      <c r="AP41">
        <f t="shared" si="9"/>
        <v>255655.04647281472</v>
      </c>
      <c r="AQ41">
        <f t="shared" si="10"/>
        <v>1923.6326784138469</v>
      </c>
      <c r="AR41">
        <f t="shared" si="11"/>
        <v>2752.9433274453913</v>
      </c>
      <c r="AS41">
        <f t="shared" si="1"/>
        <v>829.31064903154447</v>
      </c>
      <c r="AT41">
        <f t="shared" si="12"/>
        <v>66502.176278512619</v>
      </c>
      <c r="AU41">
        <f t="shared" si="13"/>
        <v>24344.953527185284</v>
      </c>
    </row>
    <row r="42" spans="1:57" ht="21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AA42">
        <f t="shared" si="2"/>
        <v>34</v>
      </c>
      <c r="AB42">
        <f t="shared" si="3"/>
        <v>274101.80508981756</v>
      </c>
      <c r="AC42">
        <f t="shared" si="4"/>
        <v>2057.2313777960021</v>
      </c>
      <c r="AD42">
        <f t="shared" si="5"/>
        <v>2252.9433274453913</v>
      </c>
      <c r="AE42">
        <f t="shared" si="0"/>
        <v>195.71194964938923</v>
      </c>
      <c r="AF42">
        <f t="shared" si="6"/>
        <v>70701.878222960819</v>
      </c>
      <c r="AG42">
        <f t="shared" si="7"/>
        <v>5898.1949101824939</v>
      </c>
      <c r="AO42">
        <f t="shared" si="8"/>
        <v>34</v>
      </c>
      <c r="AP42">
        <f t="shared" si="9"/>
        <v>254819.51599391544</v>
      </c>
      <c r="AQ42">
        <f t="shared" si="10"/>
        <v>1917.4128485461104</v>
      </c>
      <c r="AR42">
        <f t="shared" si="11"/>
        <v>2752.9433274453913</v>
      </c>
      <c r="AS42">
        <f t="shared" si="1"/>
        <v>835.53047889928098</v>
      </c>
      <c r="AT42">
        <f t="shared" si="12"/>
        <v>68419.589127058731</v>
      </c>
      <c r="AU42">
        <f t="shared" si="13"/>
        <v>25180.484006084564</v>
      </c>
    </row>
    <row r="43" spans="1:57" ht="24" customHeight="1">
      <c r="E43" s="17"/>
      <c r="F43" s="17"/>
      <c r="G43" s="17"/>
      <c r="H43" s="17"/>
      <c r="I43" s="17"/>
      <c r="J43" s="17"/>
      <c r="K43" s="17"/>
      <c r="AA43">
        <f t="shared" si="2"/>
        <v>35</v>
      </c>
      <c r="AB43">
        <f t="shared" si="3"/>
        <v>273904.62530054577</v>
      </c>
      <c r="AC43">
        <f t="shared" si="4"/>
        <v>2055.7635381736318</v>
      </c>
      <c r="AD43">
        <f t="shared" si="5"/>
        <v>2252.9433274453913</v>
      </c>
      <c r="AE43">
        <f t="shared" si="0"/>
        <v>197.17978927175955</v>
      </c>
      <c r="AF43">
        <f t="shared" si="6"/>
        <v>72757.641761134451</v>
      </c>
      <c r="AG43">
        <f t="shared" si="7"/>
        <v>6095.3746994542535</v>
      </c>
      <c r="AO43">
        <f t="shared" si="8"/>
        <v>35</v>
      </c>
      <c r="AP43">
        <f t="shared" si="9"/>
        <v>253977.71903642442</v>
      </c>
      <c r="AQ43">
        <f t="shared" si="10"/>
        <v>1911.1463699543658</v>
      </c>
      <c r="AR43">
        <f t="shared" si="11"/>
        <v>2752.9433274453913</v>
      </c>
      <c r="AS43">
        <f t="shared" si="1"/>
        <v>841.79695749102552</v>
      </c>
      <c r="AT43">
        <f t="shared" si="12"/>
        <v>70330.735497013098</v>
      </c>
      <c r="AU43">
        <f t="shared" si="13"/>
        <v>26022.280963575588</v>
      </c>
    </row>
    <row r="44" spans="1:57" ht="33.75" customHeight="1">
      <c r="E44" s="17"/>
      <c r="F44" s="17"/>
      <c r="G44" s="17"/>
      <c r="H44" s="17"/>
      <c r="I44" s="17"/>
      <c r="J44" s="17"/>
      <c r="K44" s="17"/>
      <c r="AA44">
        <f t="shared" si="2"/>
        <v>36</v>
      </c>
      <c r="AB44">
        <f t="shared" si="3"/>
        <v>273705.96666285448</v>
      </c>
      <c r="AC44">
        <f t="shared" si="4"/>
        <v>2054.2846897540931</v>
      </c>
      <c r="AD44">
        <f t="shared" si="5"/>
        <v>2252.9433274453913</v>
      </c>
      <c r="AE44">
        <f t="shared" si="0"/>
        <v>198.65863769129828</v>
      </c>
      <c r="AF44">
        <f t="shared" si="6"/>
        <v>74811.926450888539</v>
      </c>
      <c r="AG44">
        <f t="shared" si="7"/>
        <v>6294.0333371455517</v>
      </c>
      <c r="AO44">
        <f t="shared" si="8"/>
        <v>36</v>
      </c>
      <c r="AP44">
        <f t="shared" si="9"/>
        <v>253129.6086017522</v>
      </c>
      <c r="AQ44">
        <f t="shared" si="10"/>
        <v>1904.8328927731829</v>
      </c>
      <c r="AR44">
        <f t="shared" si="11"/>
        <v>2752.9433274453913</v>
      </c>
      <c r="AS44">
        <f t="shared" si="1"/>
        <v>848.11043467220838</v>
      </c>
      <c r="AT44">
        <f t="shared" si="12"/>
        <v>72235.568389786276</v>
      </c>
      <c r="AU44">
        <f t="shared" si="13"/>
        <v>26870.391398247797</v>
      </c>
    </row>
    <row r="45" spans="1:57" ht="33.75" customHeight="1">
      <c r="E45" s="17"/>
      <c r="F45" s="17"/>
      <c r="G45" s="17"/>
      <c r="H45" s="17"/>
      <c r="I45" s="17"/>
      <c r="J45" s="17"/>
      <c r="K45" s="17"/>
      <c r="AA45">
        <f t="shared" si="2"/>
        <v>37</v>
      </c>
      <c r="AB45">
        <f t="shared" si="3"/>
        <v>273505.81808538048</v>
      </c>
      <c r="AC45">
        <f t="shared" si="4"/>
        <v>2052.7947499714087</v>
      </c>
      <c r="AD45">
        <f t="shared" si="5"/>
        <v>2252.9433274453913</v>
      </c>
      <c r="AE45">
        <f t="shared" si="0"/>
        <v>200.14857747398264</v>
      </c>
      <c r="AF45">
        <f t="shared" si="6"/>
        <v>76864.721200859945</v>
      </c>
      <c r="AG45">
        <f t="shared" si="7"/>
        <v>6494.1819146195339</v>
      </c>
      <c r="AO45">
        <f t="shared" si="8"/>
        <v>37</v>
      </c>
      <c r="AP45">
        <f t="shared" si="9"/>
        <v>252275.13733881994</v>
      </c>
      <c r="AQ45">
        <f t="shared" si="10"/>
        <v>1898.4720645131415</v>
      </c>
      <c r="AR45">
        <f t="shared" si="11"/>
        <v>2752.9433274453913</v>
      </c>
      <c r="AS45">
        <f t="shared" si="1"/>
        <v>854.47126293224983</v>
      </c>
      <c r="AT45">
        <f t="shared" si="12"/>
        <v>74134.040454299422</v>
      </c>
      <c r="AU45">
        <f t="shared" si="13"/>
        <v>27724.862661180046</v>
      </c>
    </row>
    <row r="46" spans="1:57" ht="27.75" customHeight="1">
      <c r="E46" s="17"/>
      <c r="F46" s="17"/>
      <c r="G46" s="17"/>
      <c r="H46" s="17"/>
      <c r="I46" s="17"/>
      <c r="J46" s="17"/>
      <c r="K46" s="17"/>
      <c r="AA46">
        <f t="shared" si="2"/>
        <v>38</v>
      </c>
      <c r="AB46">
        <f t="shared" si="3"/>
        <v>273304.16839357547</v>
      </c>
      <c r="AC46">
        <f t="shared" si="4"/>
        <v>2051.2936356403534</v>
      </c>
      <c r="AD46">
        <f t="shared" si="5"/>
        <v>2252.9433274453913</v>
      </c>
      <c r="AE46">
        <f t="shared" si="0"/>
        <v>201.64969180503795</v>
      </c>
      <c r="AF46">
        <f t="shared" si="6"/>
        <v>78916.014836500297</v>
      </c>
      <c r="AG46">
        <f t="shared" si="7"/>
        <v>6695.8316064245719</v>
      </c>
      <c r="AO46">
        <f t="shared" si="8"/>
        <v>38</v>
      </c>
      <c r="AP46">
        <f t="shared" si="9"/>
        <v>251414.25754141569</v>
      </c>
      <c r="AQ46">
        <f t="shared" si="10"/>
        <v>1892.0635300411495</v>
      </c>
      <c r="AR46">
        <f t="shared" si="11"/>
        <v>2752.9433274453913</v>
      </c>
      <c r="AS46">
        <f t="shared" si="1"/>
        <v>860.8797974042418</v>
      </c>
      <c r="AT46">
        <f t="shared" si="12"/>
        <v>76026.103984340574</v>
      </c>
      <c r="AU46">
        <f t="shared" si="13"/>
        <v>28585.742458584289</v>
      </c>
    </row>
    <row r="47" spans="1:57" ht="24" customHeight="1">
      <c r="E47" s="17"/>
      <c r="F47" s="17"/>
      <c r="G47" s="17"/>
      <c r="H47" s="17"/>
      <c r="I47" s="17"/>
      <c r="J47" s="17"/>
      <c r="K47" s="17"/>
      <c r="AA47">
        <f t="shared" si="2"/>
        <v>39</v>
      </c>
      <c r="AB47">
        <f t="shared" si="3"/>
        <v>273101.00632908189</v>
      </c>
      <c r="AC47">
        <f t="shared" si="4"/>
        <v>2049.7812629518157</v>
      </c>
      <c r="AD47">
        <f t="shared" si="5"/>
        <v>2252.9433274453913</v>
      </c>
      <c r="AE47">
        <f t="shared" si="0"/>
        <v>203.1620644935756</v>
      </c>
      <c r="AF47">
        <f t="shared" si="6"/>
        <v>80965.796099452113</v>
      </c>
      <c r="AG47">
        <f t="shared" si="7"/>
        <v>6898.9936709181475</v>
      </c>
      <c r="AO47">
        <f t="shared" si="8"/>
        <v>39</v>
      </c>
      <c r="AP47">
        <f t="shared" si="9"/>
        <v>250546.92114553091</v>
      </c>
      <c r="AQ47">
        <f t="shared" si="10"/>
        <v>1885.6069315606176</v>
      </c>
      <c r="AR47">
        <f t="shared" si="11"/>
        <v>2752.9433274453913</v>
      </c>
      <c r="AS47">
        <f t="shared" si="1"/>
        <v>867.33639588477376</v>
      </c>
      <c r="AT47">
        <f t="shared" si="12"/>
        <v>77911.710915901189</v>
      </c>
      <c r="AU47">
        <f t="shared" si="13"/>
        <v>29453.078854469062</v>
      </c>
    </row>
    <row r="48" spans="1:57" ht="24" customHeight="1">
      <c r="E48" s="17"/>
      <c r="F48" s="17"/>
      <c r="G48" s="17"/>
      <c r="H48" s="17"/>
      <c r="I48" s="17"/>
      <c r="J48" s="17"/>
      <c r="K48" s="17"/>
      <c r="AA48">
        <f t="shared" si="2"/>
        <v>40</v>
      </c>
      <c r="AB48">
        <f t="shared" si="3"/>
        <v>272896.3205491046</v>
      </c>
      <c r="AC48">
        <f t="shared" si="4"/>
        <v>2048.2575474681144</v>
      </c>
      <c r="AD48">
        <f t="shared" si="5"/>
        <v>2252.9433274453913</v>
      </c>
      <c r="AE48">
        <f t="shared" si="0"/>
        <v>204.68577997727698</v>
      </c>
      <c r="AF48">
        <f t="shared" si="6"/>
        <v>83014.05364692022</v>
      </c>
      <c r="AG48">
        <f t="shared" si="7"/>
        <v>7103.6794508954245</v>
      </c>
      <c r="AO48">
        <f t="shared" si="8"/>
        <v>40</v>
      </c>
      <c r="AP48">
        <f t="shared" si="9"/>
        <v>249673.07972667701</v>
      </c>
      <c r="AQ48">
        <f t="shared" si="10"/>
        <v>1879.1019085914818</v>
      </c>
      <c r="AR48">
        <f t="shared" si="11"/>
        <v>2752.9433274453913</v>
      </c>
      <c r="AS48">
        <f t="shared" si="1"/>
        <v>873.84141885390954</v>
      </c>
      <c r="AT48">
        <f t="shared" si="12"/>
        <v>79790.812824492677</v>
      </c>
      <c r="AU48">
        <f t="shared" si="13"/>
        <v>30326.920273322972</v>
      </c>
    </row>
    <row r="49" spans="1:47" ht="24" customHeight="1">
      <c r="E49" s="17"/>
      <c r="F49" s="17"/>
      <c r="G49" s="17"/>
      <c r="H49" s="17"/>
      <c r="I49" s="17"/>
      <c r="J49" s="17"/>
      <c r="K49" s="17"/>
      <c r="AA49">
        <f t="shared" si="2"/>
        <v>41</v>
      </c>
      <c r="AB49">
        <f t="shared" si="3"/>
        <v>272690.09962577751</v>
      </c>
      <c r="AC49">
        <f t="shared" si="4"/>
        <v>2046.7224041182844</v>
      </c>
      <c r="AD49">
        <f t="shared" si="5"/>
        <v>2252.9433274453913</v>
      </c>
      <c r="AE49">
        <f t="shared" si="0"/>
        <v>206.2209233271069</v>
      </c>
      <c r="AF49">
        <f t="shared" si="6"/>
        <v>85060.776051038498</v>
      </c>
      <c r="AG49">
        <f t="shared" si="7"/>
        <v>7309.9003742225314</v>
      </c>
      <c r="AO49">
        <f t="shared" si="8"/>
        <v>41</v>
      </c>
      <c r="AP49">
        <f t="shared" si="9"/>
        <v>248792.6844971817</v>
      </c>
      <c r="AQ49">
        <f t="shared" si="10"/>
        <v>1872.5480979500776</v>
      </c>
      <c r="AR49">
        <f t="shared" si="11"/>
        <v>2752.9433274453913</v>
      </c>
      <c r="AS49">
        <f t="shared" si="1"/>
        <v>880.39522949531374</v>
      </c>
      <c r="AT49">
        <f t="shared" si="12"/>
        <v>81663.360922442749</v>
      </c>
      <c r="AU49">
        <f t="shared" si="13"/>
        <v>31207.315502818285</v>
      </c>
    </row>
    <row r="50" spans="1:47" ht="21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AA50">
        <f t="shared" si="2"/>
        <v>42</v>
      </c>
      <c r="AB50">
        <f t="shared" si="3"/>
        <v>272482.33204552543</v>
      </c>
      <c r="AC50">
        <f t="shared" si="4"/>
        <v>2045.1757471933313</v>
      </c>
      <c r="AD50">
        <f t="shared" si="5"/>
        <v>2252.9433274453913</v>
      </c>
      <c r="AE50">
        <f t="shared" si="0"/>
        <v>207.76758025206004</v>
      </c>
      <c r="AF50">
        <f t="shared" si="6"/>
        <v>87105.951798231836</v>
      </c>
      <c r="AG50">
        <f t="shared" si="7"/>
        <v>7517.6679544745912</v>
      </c>
      <c r="AO50">
        <f t="shared" si="8"/>
        <v>42</v>
      </c>
      <c r="AP50">
        <f t="shared" si="9"/>
        <v>247905.68630346516</v>
      </c>
      <c r="AQ50">
        <f t="shared" si="10"/>
        <v>1865.9451337288626</v>
      </c>
      <c r="AR50">
        <f t="shared" si="11"/>
        <v>2752.9433274453913</v>
      </c>
      <c r="AS50">
        <f t="shared" si="1"/>
        <v>886.9981937165287</v>
      </c>
      <c r="AT50">
        <f t="shared" si="12"/>
        <v>83529.306056171612</v>
      </c>
      <c r="AU50">
        <f t="shared" si="13"/>
        <v>32094.313696534813</v>
      </c>
    </row>
    <row r="51" spans="1:47" ht="21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AA51">
        <f t="shared" si="2"/>
        <v>43</v>
      </c>
      <c r="AB51">
        <f t="shared" si="3"/>
        <v>272273.00620842149</v>
      </c>
      <c r="AC51">
        <f t="shared" si="4"/>
        <v>2043.6174903414405</v>
      </c>
      <c r="AD51">
        <f t="shared" si="5"/>
        <v>2252.9433274453913</v>
      </c>
      <c r="AE51">
        <f t="shared" si="0"/>
        <v>209.32583710395079</v>
      </c>
      <c r="AF51">
        <f t="shared" si="6"/>
        <v>89149.569288573271</v>
      </c>
      <c r="AG51">
        <f t="shared" si="7"/>
        <v>7726.9937915785422</v>
      </c>
      <c r="AO51">
        <f t="shared" si="8"/>
        <v>43</v>
      </c>
      <c r="AP51">
        <f t="shared" si="9"/>
        <v>247012.03562329576</v>
      </c>
      <c r="AQ51">
        <f t="shared" si="10"/>
        <v>1859.2926472759887</v>
      </c>
      <c r="AR51">
        <f t="shared" si="11"/>
        <v>2752.9433274453913</v>
      </c>
      <c r="AS51">
        <f t="shared" si="1"/>
        <v>893.65068016940268</v>
      </c>
      <c r="AT51">
        <f t="shared" si="12"/>
        <v>85388.598703447598</v>
      </c>
      <c r="AU51">
        <f t="shared" si="13"/>
        <v>32987.964376704214</v>
      </c>
    </row>
    <row r="52" spans="1:47" ht="14.4">
      <c r="AA52">
        <f t="shared" si="2"/>
        <v>44</v>
      </c>
      <c r="AB52">
        <f t="shared" si="3"/>
        <v>272062.11042753927</v>
      </c>
      <c r="AC52">
        <f t="shared" si="4"/>
        <v>2042.0475465631612</v>
      </c>
      <c r="AD52">
        <f t="shared" si="5"/>
        <v>2252.9433274453913</v>
      </c>
      <c r="AE52">
        <f t="shared" si="0"/>
        <v>210.89578088223016</v>
      </c>
      <c r="AF52">
        <f t="shared" si="6"/>
        <v>91191.616835136432</v>
      </c>
      <c r="AG52">
        <f t="shared" si="7"/>
        <v>7937.8895724607719</v>
      </c>
      <c r="AO52">
        <f t="shared" si="8"/>
        <v>44</v>
      </c>
      <c r="AP52">
        <f t="shared" si="9"/>
        <v>246111.6825630251</v>
      </c>
      <c r="AQ52">
        <f t="shared" si="10"/>
        <v>1852.5902671747181</v>
      </c>
      <c r="AR52">
        <f t="shared" si="11"/>
        <v>2752.9433274453913</v>
      </c>
      <c r="AS52">
        <f t="shared" si="1"/>
        <v>900.35306027067327</v>
      </c>
      <c r="AT52">
        <f t="shared" si="12"/>
        <v>87241.188970622316</v>
      </c>
      <c r="AU52">
        <f t="shared" si="13"/>
        <v>33888.317436974889</v>
      </c>
    </row>
    <row r="53" spans="1:47" ht="14.4">
      <c r="AA53">
        <f t="shared" si="2"/>
        <v>45</v>
      </c>
      <c r="AB53">
        <f t="shared" si="3"/>
        <v>271849.63292830042</v>
      </c>
      <c r="AC53">
        <f t="shared" si="4"/>
        <v>2040.4658282065445</v>
      </c>
      <c r="AD53">
        <f t="shared" si="5"/>
        <v>2252.9433274453913</v>
      </c>
      <c r="AE53">
        <f t="shared" si="0"/>
        <v>212.4774992388468</v>
      </c>
      <c r="AF53">
        <f t="shared" si="6"/>
        <v>93232.082663342982</v>
      </c>
      <c r="AG53">
        <f t="shared" si="7"/>
        <v>8150.3670716996185</v>
      </c>
      <c r="AO53">
        <f t="shared" si="8"/>
        <v>45</v>
      </c>
      <c r="AP53">
        <f t="shared" si="9"/>
        <v>245204.57685480241</v>
      </c>
      <c r="AQ53">
        <f t="shared" si="10"/>
        <v>1845.8376192226881</v>
      </c>
      <c r="AR53">
        <f t="shared" si="11"/>
        <v>2752.9433274453913</v>
      </c>
      <c r="AS53">
        <f t="shared" si="1"/>
        <v>907.10570822270324</v>
      </c>
      <c r="AT53">
        <f t="shared" si="12"/>
        <v>89087.026589845002</v>
      </c>
      <c r="AU53">
        <f t="shared" si="13"/>
        <v>34795.423145197594</v>
      </c>
    </row>
    <row r="54" spans="1:47" ht="14.4">
      <c r="AA54">
        <f>AA53+1</f>
        <v>46</v>
      </c>
      <c r="AB54">
        <f>MAX(0,AB53-AE54)</f>
        <v>271635.56184781727</v>
      </c>
      <c r="AC54">
        <f>IF(AB53&lt;=0,0,AB53*$AA$6)</f>
        <v>2038.872246962253</v>
      </c>
      <c r="AD54">
        <f>IF(AB53&lt;=0,0,MIN($AC$6,AB53+AC54))</f>
        <v>2252.9433274453913</v>
      </c>
      <c r="AE54">
        <f t="shared" si="0"/>
        <v>214.0710804831383</v>
      </c>
      <c r="AF54">
        <f>AF53+AC54</f>
        <v>95270.954910305241</v>
      </c>
      <c r="AG54">
        <f>AG53+AE54</f>
        <v>8364.4381521827563</v>
      </c>
      <c r="AO54">
        <f>AO53+1</f>
        <v>46</v>
      </c>
      <c r="AP54">
        <f>MAX(0,AP53-AS54)</f>
        <v>244290.66785376804</v>
      </c>
      <c r="AQ54">
        <f>IF(AP53&lt;=0,0,AP53*$AA$6)</f>
        <v>1839.0343264110179</v>
      </c>
      <c r="AR54">
        <f>IF(AP53&lt;=0,0,MIN($AD$6,AP53+AQ54))</f>
        <v>2752.9433274453913</v>
      </c>
      <c r="AS54">
        <f t="shared" si="1"/>
        <v>913.90900103437343</v>
      </c>
      <c r="AT54">
        <f>AT53+AQ54</f>
        <v>90926.060916256014</v>
      </c>
      <c r="AU54">
        <f>AU53+AS54</f>
        <v>35709.332146231965</v>
      </c>
    </row>
    <row r="55" spans="1:47" ht="14.4">
      <c r="AA55">
        <f t="shared" si="2"/>
        <v>47</v>
      </c>
      <c r="AB55">
        <f t="shared" si="3"/>
        <v>271419.88523423049</v>
      </c>
      <c r="AC55">
        <f t="shared" si="4"/>
        <v>2037.2667138586294</v>
      </c>
      <c r="AD55">
        <f t="shared" si="5"/>
        <v>2252.9433274453913</v>
      </c>
      <c r="AE55">
        <f t="shared" si="0"/>
        <v>215.67661358676196</v>
      </c>
      <c r="AF55">
        <f t="shared" si="6"/>
        <v>97308.221624163867</v>
      </c>
      <c r="AG55">
        <f t="shared" si="7"/>
        <v>8580.1147657695183</v>
      </c>
      <c r="AO55">
        <f t="shared" si="8"/>
        <v>47</v>
      </c>
      <c r="AP55">
        <f t="shared" si="9"/>
        <v>243369.90453522591</v>
      </c>
      <c r="AQ55">
        <f t="shared" si="10"/>
        <v>1832.1800089032602</v>
      </c>
      <c r="AR55">
        <f t="shared" si="11"/>
        <v>2752.9433274453913</v>
      </c>
      <c r="AS55">
        <f t="shared" si="1"/>
        <v>920.76331854213117</v>
      </c>
      <c r="AT55">
        <f t="shared" si="12"/>
        <v>92758.240925159276</v>
      </c>
      <c r="AU55">
        <f t="shared" si="13"/>
        <v>36630.095464774095</v>
      </c>
    </row>
    <row r="56" spans="1:47" ht="14.4">
      <c r="AA56">
        <f t="shared" si="2"/>
        <v>48</v>
      </c>
      <c r="AB56">
        <f t="shared" si="3"/>
        <v>271202.59104604181</v>
      </c>
      <c r="AC56">
        <f t="shared" si="4"/>
        <v>2035.6491392567286</v>
      </c>
      <c r="AD56">
        <f t="shared" si="5"/>
        <v>2252.9433274453913</v>
      </c>
      <c r="AE56">
        <f t="shared" si="0"/>
        <v>217.2941881886627</v>
      </c>
      <c r="AF56">
        <f t="shared" si="6"/>
        <v>99343.870763420593</v>
      </c>
      <c r="AG56">
        <f t="shared" si="7"/>
        <v>8797.4089539581801</v>
      </c>
      <c r="AO56">
        <f t="shared" si="8"/>
        <v>48</v>
      </c>
      <c r="AP56">
        <f t="shared" si="9"/>
        <v>242442.23549179471</v>
      </c>
      <c r="AQ56">
        <f t="shared" si="10"/>
        <v>1825.2742840141943</v>
      </c>
      <c r="AR56">
        <f t="shared" si="11"/>
        <v>2752.9433274453913</v>
      </c>
      <c r="AS56">
        <f t="shared" si="1"/>
        <v>927.669043431197</v>
      </c>
      <c r="AT56">
        <f t="shared" si="12"/>
        <v>94583.515209173464</v>
      </c>
      <c r="AU56">
        <f t="shared" si="13"/>
        <v>37557.764508205291</v>
      </c>
    </row>
    <row r="57" spans="1:47" ht="14.4">
      <c r="AA57">
        <f t="shared" si="2"/>
        <v>49</v>
      </c>
      <c r="AB57">
        <f t="shared" si="3"/>
        <v>270983.66715144174</v>
      </c>
      <c r="AC57">
        <f t="shared" si="4"/>
        <v>2034.0194328453135</v>
      </c>
      <c r="AD57">
        <f t="shared" si="5"/>
        <v>2252.9433274453913</v>
      </c>
      <c r="AE57">
        <f t="shared" si="0"/>
        <v>218.9238946000778</v>
      </c>
      <c r="AF57">
        <f t="shared" si="6"/>
        <v>101377.8901962659</v>
      </c>
      <c r="AG57">
        <f t="shared" si="7"/>
        <v>9016.332848558257</v>
      </c>
      <c r="AO57">
        <f t="shared" si="8"/>
        <v>49</v>
      </c>
      <c r="AP57">
        <f t="shared" si="9"/>
        <v>241507.60893053777</v>
      </c>
      <c r="AQ57">
        <f t="shared" si="10"/>
        <v>1818.3167661884602</v>
      </c>
      <c r="AR57">
        <f t="shared" si="11"/>
        <v>2752.9433274453913</v>
      </c>
      <c r="AS57">
        <f t="shared" si="1"/>
        <v>934.62656125693115</v>
      </c>
      <c r="AT57">
        <f t="shared" si="12"/>
        <v>96401.831975361929</v>
      </c>
      <c r="AU57">
        <f t="shared" si="13"/>
        <v>38492.391069462225</v>
      </c>
    </row>
    <row r="58" spans="1:47" ht="14.4">
      <c r="AA58">
        <f t="shared" si="2"/>
        <v>50</v>
      </c>
      <c r="AB58">
        <f t="shared" si="3"/>
        <v>270763.10132763215</v>
      </c>
      <c r="AC58">
        <f t="shared" si="4"/>
        <v>2032.3775036358129</v>
      </c>
      <c r="AD58">
        <f t="shared" si="5"/>
        <v>2252.9433274453913</v>
      </c>
      <c r="AE58">
        <f t="shared" si="0"/>
        <v>220.56582380957843</v>
      </c>
      <c r="AF58">
        <f t="shared" si="6"/>
        <v>103410.26769990171</v>
      </c>
      <c r="AG58">
        <f t="shared" si="7"/>
        <v>9236.8986723678354</v>
      </c>
      <c r="AO58">
        <f t="shared" si="8"/>
        <v>50</v>
      </c>
      <c r="AP58">
        <f t="shared" si="9"/>
        <v>240565.97267007141</v>
      </c>
      <c r="AQ58">
        <f t="shared" si="10"/>
        <v>1811.3070669790332</v>
      </c>
      <c r="AR58">
        <f t="shared" si="11"/>
        <v>2752.9433274453913</v>
      </c>
      <c r="AS58">
        <f t="shared" si="1"/>
        <v>941.63626046635818</v>
      </c>
      <c r="AT58">
        <f t="shared" si="12"/>
        <v>98213.139042340961</v>
      </c>
      <c r="AU58">
        <f t="shared" si="13"/>
        <v>39434.027329928584</v>
      </c>
    </row>
    <row r="59" spans="1:47" ht="14.4">
      <c r="AA59">
        <f t="shared" si="2"/>
        <v>51</v>
      </c>
      <c r="AB59">
        <f t="shared" si="3"/>
        <v>270540.881260144</v>
      </c>
      <c r="AC59">
        <f t="shared" si="4"/>
        <v>2030.723259957241</v>
      </c>
      <c r="AD59">
        <f t="shared" si="5"/>
        <v>2252.9433274453913</v>
      </c>
      <c r="AE59">
        <f t="shared" si="0"/>
        <v>222.22006748815033</v>
      </c>
      <c r="AF59">
        <f t="shared" si="6"/>
        <v>105440.99095985896</v>
      </c>
      <c r="AG59">
        <f t="shared" si="7"/>
        <v>9459.118739855985</v>
      </c>
      <c r="AO59">
        <f t="shared" si="8"/>
        <v>51</v>
      </c>
      <c r="AP59">
        <f t="shared" si="9"/>
        <v>239617.27413765155</v>
      </c>
      <c r="AQ59">
        <f t="shared" si="10"/>
        <v>1804.2447950255355</v>
      </c>
      <c r="AR59">
        <f t="shared" si="11"/>
        <v>2752.9433274453913</v>
      </c>
      <c r="AS59">
        <f t="shared" si="1"/>
        <v>948.69853241985584</v>
      </c>
      <c r="AT59">
        <f t="shared" si="12"/>
        <v>100017.38383736649</v>
      </c>
      <c r="AU59">
        <f t="shared" si="13"/>
        <v>40382.725862348438</v>
      </c>
    </row>
    <row r="60" spans="1:47" ht="14.4">
      <c r="AA60">
        <f t="shared" si="2"/>
        <v>52</v>
      </c>
      <c r="AB60">
        <f t="shared" si="3"/>
        <v>270316.99454214971</v>
      </c>
      <c r="AC60">
        <f t="shared" si="4"/>
        <v>2029.05660945108</v>
      </c>
      <c r="AD60">
        <f t="shared" si="5"/>
        <v>2252.9433274453913</v>
      </c>
      <c r="AE60">
        <f t="shared" si="0"/>
        <v>223.88671799431131</v>
      </c>
      <c r="AF60">
        <f t="shared" si="6"/>
        <v>107470.04756931005</v>
      </c>
      <c r="AG60">
        <f t="shared" si="7"/>
        <v>9683.0054578502968</v>
      </c>
      <c r="AO60">
        <f t="shared" si="8"/>
        <v>52</v>
      </c>
      <c r="AP60">
        <f t="shared" si="9"/>
        <v>238661.46036623855</v>
      </c>
      <c r="AQ60">
        <f t="shared" si="10"/>
        <v>1797.1295560323865</v>
      </c>
      <c r="AR60">
        <f t="shared" si="11"/>
        <v>2752.9433274453913</v>
      </c>
      <c r="AS60">
        <f t="shared" si="1"/>
        <v>955.81377141300482</v>
      </c>
      <c r="AT60">
        <f t="shared" si="12"/>
        <v>101814.51339339888</v>
      </c>
      <c r="AU60">
        <f t="shared" si="13"/>
        <v>41338.539633761444</v>
      </c>
    </row>
    <row r="61" spans="1:47" ht="14.4">
      <c r="AA61">
        <f t="shared" si="2"/>
        <v>53</v>
      </c>
      <c r="AB61">
        <f t="shared" si="3"/>
        <v>270091.42867377045</v>
      </c>
      <c r="AC61">
        <f t="shared" si="4"/>
        <v>2027.3774590661228</v>
      </c>
      <c r="AD61">
        <f t="shared" si="5"/>
        <v>2252.9433274453913</v>
      </c>
      <c r="AE61">
        <f t="shared" si="0"/>
        <v>225.56586837926852</v>
      </c>
      <c r="AF61">
        <f t="shared" si="6"/>
        <v>109497.42502837616</v>
      </c>
      <c r="AG61">
        <f t="shared" si="7"/>
        <v>9908.5713262295649</v>
      </c>
      <c r="AO61">
        <f t="shared" si="8"/>
        <v>53</v>
      </c>
      <c r="AP61">
        <f t="shared" si="9"/>
        <v>237698.47799153996</v>
      </c>
      <c r="AQ61">
        <f t="shared" si="10"/>
        <v>1789.960952746789</v>
      </c>
      <c r="AR61">
        <f t="shared" si="11"/>
        <v>2752.9433274453913</v>
      </c>
      <c r="AS61">
        <f t="shared" si="1"/>
        <v>962.98237469860237</v>
      </c>
      <c r="AT61">
        <f t="shared" si="12"/>
        <v>103604.47434614567</v>
      </c>
      <c r="AU61">
        <f t="shared" si="13"/>
        <v>42301.522008460044</v>
      </c>
    </row>
    <row r="62" spans="1:47" ht="14.4">
      <c r="AA62">
        <f t="shared" si="2"/>
        <v>54</v>
      </c>
      <c r="AB62">
        <f t="shared" si="3"/>
        <v>269864.17106137832</v>
      </c>
      <c r="AC62">
        <f t="shared" si="4"/>
        <v>2025.6857150532783</v>
      </c>
      <c r="AD62">
        <f t="shared" si="5"/>
        <v>2252.9433274453913</v>
      </c>
      <c r="AE62">
        <f t="shared" si="0"/>
        <v>227.25761239211306</v>
      </c>
      <c r="AF62">
        <f t="shared" si="6"/>
        <v>111523.11074342944</v>
      </c>
      <c r="AG62">
        <f t="shared" si="7"/>
        <v>10135.828938621678</v>
      </c>
      <c r="AO62">
        <f t="shared" si="8"/>
        <v>54</v>
      </c>
      <c r="AP62">
        <f t="shared" si="9"/>
        <v>236728.2732490311</v>
      </c>
      <c r="AQ62">
        <f t="shared" si="10"/>
        <v>1782.7385849365496</v>
      </c>
      <c r="AR62">
        <f t="shared" si="11"/>
        <v>2752.9433274453913</v>
      </c>
      <c r="AS62">
        <f t="shared" si="1"/>
        <v>970.20474250884172</v>
      </c>
      <c r="AT62">
        <f t="shared" si="12"/>
        <v>105387.21293108222</v>
      </c>
      <c r="AU62">
        <f t="shared" si="13"/>
        <v>43271.726750968883</v>
      </c>
    </row>
    <row r="63" spans="1:47" ht="14.4">
      <c r="M63" s="45" t="s">
        <v>12</v>
      </c>
      <c r="N63" s="45" t="s">
        <v>13</v>
      </c>
      <c r="O63" s="45" t="s">
        <v>14</v>
      </c>
      <c r="AA63">
        <f t="shared" si="2"/>
        <v>55</v>
      </c>
      <c r="AB63">
        <f t="shared" si="3"/>
        <v>269635.20901689329</v>
      </c>
      <c r="AC63">
        <f t="shared" si="4"/>
        <v>2023.9812829603372</v>
      </c>
      <c r="AD63">
        <f t="shared" si="5"/>
        <v>2252.9433274453913</v>
      </c>
      <c r="AE63">
        <f t="shared" si="0"/>
        <v>228.96204448505409</v>
      </c>
      <c r="AF63">
        <f t="shared" si="6"/>
        <v>113547.09202638977</v>
      </c>
      <c r="AG63">
        <f t="shared" si="7"/>
        <v>10364.790983106732</v>
      </c>
      <c r="AO63">
        <f t="shared" si="8"/>
        <v>55</v>
      </c>
      <c r="AP63">
        <f t="shared" si="9"/>
        <v>235750.79197095343</v>
      </c>
      <c r="AQ63">
        <f t="shared" si="10"/>
        <v>1775.4620493677332</v>
      </c>
      <c r="AR63">
        <f t="shared" si="11"/>
        <v>2752.9433274453913</v>
      </c>
      <c r="AS63">
        <f t="shared" si="1"/>
        <v>977.48127807765809</v>
      </c>
      <c r="AT63">
        <f t="shared" si="12"/>
        <v>107162.67498044996</v>
      </c>
      <c r="AU63">
        <f t="shared" si="13"/>
        <v>44249.208029046538</v>
      </c>
    </row>
    <row r="64" spans="1:47" ht="14.4">
      <c r="M64" s="45">
        <v>0</v>
      </c>
      <c r="N64" s="46">
        <f>$C$10</f>
        <v>280000</v>
      </c>
      <c r="O64" s="46">
        <f>$C$10</f>
        <v>280000</v>
      </c>
      <c r="AA64">
        <f t="shared" si="2"/>
        <v>56</v>
      </c>
      <c r="AB64">
        <f t="shared" si="3"/>
        <v>269404.5297570746</v>
      </c>
      <c r="AC64">
        <f t="shared" si="4"/>
        <v>2022.2640676266997</v>
      </c>
      <c r="AD64">
        <f t="shared" si="5"/>
        <v>2252.9433274453913</v>
      </c>
      <c r="AE64">
        <f t="shared" si="0"/>
        <v>230.67925981869166</v>
      </c>
      <c r="AF64">
        <f t="shared" si="6"/>
        <v>115569.35609401648</v>
      </c>
      <c r="AG64">
        <f t="shared" si="7"/>
        <v>10595.470242925423</v>
      </c>
      <c r="AO64">
        <f t="shared" si="8"/>
        <v>56</v>
      </c>
      <c r="AP64">
        <f t="shared" si="9"/>
        <v>234765.9795832902</v>
      </c>
      <c r="AQ64">
        <f t="shared" si="10"/>
        <v>1768.1309397821508</v>
      </c>
      <c r="AR64">
        <f t="shared" si="11"/>
        <v>2752.9433274453913</v>
      </c>
      <c r="AS64">
        <f t="shared" si="1"/>
        <v>984.81238766324054</v>
      </c>
      <c r="AT64">
        <f t="shared" si="12"/>
        <v>108930.8059202321</v>
      </c>
      <c r="AU64">
        <f t="shared" si="13"/>
        <v>45234.020416709776</v>
      </c>
    </row>
    <row r="65" spans="13:47" ht="14.4">
      <c r="M65" s="45">
        <v>1</v>
      </c>
      <c r="N65" s="45">
        <f>IF(M65*12&gt;$AX$2,0,INDEX($AB$9:$AB$608,M65*12))</f>
        <v>278087.04812438274</v>
      </c>
      <c r="O65" s="45">
        <f>IF(M65*12&gt;$AX$8,0,INDEX($AP$9:$AP$608,M65*12))</f>
        <v>271833.25494631723</v>
      </c>
      <c r="AA65">
        <f t="shared" si="2"/>
        <v>57</v>
      </c>
      <c r="AB65">
        <f t="shared" si="3"/>
        <v>269172.12040280725</v>
      </c>
      <c r="AC65">
        <f t="shared" si="4"/>
        <v>2020.5339731780596</v>
      </c>
      <c r="AD65">
        <f t="shared" si="5"/>
        <v>2252.9433274453913</v>
      </c>
      <c r="AE65">
        <f t="shared" si="0"/>
        <v>232.40935426733176</v>
      </c>
      <c r="AF65">
        <f t="shared" si="6"/>
        <v>117589.89006719453</v>
      </c>
      <c r="AG65">
        <f t="shared" si="7"/>
        <v>10827.879597192754</v>
      </c>
      <c r="AO65">
        <f t="shared" si="8"/>
        <v>57</v>
      </c>
      <c r="AP65">
        <f t="shared" si="9"/>
        <v>233773.78110271948</v>
      </c>
      <c r="AQ65">
        <f t="shared" si="10"/>
        <v>1760.7448468746763</v>
      </c>
      <c r="AR65">
        <f t="shared" si="11"/>
        <v>2752.9433274453913</v>
      </c>
      <c r="AS65">
        <f t="shared" si="1"/>
        <v>992.19848057071499</v>
      </c>
      <c r="AT65">
        <f t="shared" si="12"/>
        <v>110691.55076710678</v>
      </c>
      <c r="AU65">
        <f t="shared" si="13"/>
        <v>46226.218897280494</v>
      </c>
    </row>
    <row r="66" spans="13:47" ht="14.4">
      <c r="M66" s="45">
        <v>2</v>
      </c>
      <c r="N66" s="45">
        <f>IF(M66*12&gt;$AX$2,0,INDEX($AB$9:$AB$608,M66*12))</f>
        <v>275994.64816792001</v>
      </c>
      <c r="O66" s="45">
        <f>IF(M66*12&gt;$AX$8,0,INDEX($AP$9:$AP$608,M66*12))</f>
        <v>262900.41287507856</v>
      </c>
      <c r="AA66">
        <f t="shared" si="2"/>
        <v>58</v>
      </c>
      <c r="AB66">
        <f t="shared" si="3"/>
        <v>268937.96797838289</v>
      </c>
      <c r="AC66">
        <f t="shared" si="4"/>
        <v>2018.7909030210544</v>
      </c>
      <c r="AD66">
        <f t="shared" si="5"/>
        <v>2252.9433274453913</v>
      </c>
      <c r="AE66">
        <f t="shared" si="0"/>
        <v>234.15242442433691</v>
      </c>
      <c r="AF66">
        <f t="shared" si="6"/>
        <v>119608.68097021559</v>
      </c>
      <c r="AG66">
        <f t="shared" si="7"/>
        <v>11062.032021617091</v>
      </c>
      <c r="AO66">
        <f t="shared" si="8"/>
        <v>58</v>
      </c>
      <c r="AP66">
        <f t="shared" si="9"/>
        <v>232774.1411335445</v>
      </c>
      <c r="AQ66">
        <f t="shared" si="10"/>
        <v>1753.3033582703961</v>
      </c>
      <c r="AR66">
        <f t="shared" si="11"/>
        <v>2752.9433274453913</v>
      </c>
      <c r="AS66">
        <f t="shared" si="1"/>
        <v>999.63996917499526</v>
      </c>
      <c r="AT66">
        <f t="shared" si="12"/>
        <v>112444.85412537717</v>
      </c>
      <c r="AU66">
        <f t="shared" si="13"/>
        <v>47225.858866455492</v>
      </c>
    </row>
    <row r="67" spans="13:47" ht="14.4">
      <c r="M67" s="45">
        <v>3</v>
      </c>
      <c r="N67" s="45">
        <f>IF(M67*12&gt;$AX$2,0,INDEX($AB$9:$AB$608,M67*12))</f>
        <v>273705.96666285448</v>
      </c>
      <c r="O67" s="45">
        <f>IF(M67*12&gt;$AX$8,0,INDEX($AP$9:$AP$608,M67*12))</f>
        <v>253129.6086017522</v>
      </c>
      <c r="AA67">
        <f t="shared" si="2"/>
        <v>59</v>
      </c>
      <c r="AB67">
        <f t="shared" si="3"/>
        <v>268702.05941077537</v>
      </c>
      <c r="AC67">
        <f t="shared" si="4"/>
        <v>2017.0347598378717</v>
      </c>
      <c r="AD67">
        <f t="shared" si="5"/>
        <v>2252.9433274453913</v>
      </c>
      <c r="AE67">
        <f t="shared" si="0"/>
        <v>235.90856760751967</v>
      </c>
      <c r="AF67">
        <f t="shared" si="6"/>
        <v>121625.71573005346</v>
      </c>
      <c r="AG67">
        <f t="shared" si="7"/>
        <v>11297.94058922461</v>
      </c>
      <c r="AO67">
        <f t="shared" si="8"/>
        <v>59</v>
      </c>
      <c r="AP67">
        <f t="shared" si="9"/>
        <v>231767.0038646007</v>
      </c>
      <c r="AQ67">
        <f t="shared" si="10"/>
        <v>1745.8060585015837</v>
      </c>
      <c r="AR67">
        <f t="shared" si="11"/>
        <v>2752.9433274453913</v>
      </c>
      <c r="AS67">
        <f t="shared" si="1"/>
        <v>1007.1372689438076</v>
      </c>
      <c r="AT67">
        <f t="shared" si="12"/>
        <v>114190.66018387875</v>
      </c>
      <c r="AU67">
        <f t="shared" si="13"/>
        <v>48232.996135399299</v>
      </c>
    </row>
    <row r="68" spans="13:47" ht="14.4">
      <c r="M68" s="45">
        <v>4</v>
      </c>
      <c r="N68" s="45">
        <f>IF(M68*12&gt;$AX$2,0,INDEX($AB$9:$AB$608,M68*12))</f>
        <v>271202.59104604181</v>
      </c>
      <c r="O68" s="45">
        <f>IF(M68*12&gt;$AX$8,0,INDEX($AP$9:$AP$608,M68*12))</f>
        <v>242442.23549179471</v>
      </c>
      <c r="AA68">
        <f t="shared" si="2"/>
        <v>60</v>
      </c>
      <c r="AB68">
        <f t="shared" si="3"/>
        <v>268464.38152891077</v>
      </c>
      <c r="AC68">
        <f t="shared" si="4"/>
        <v>2015.2654455808151</v>
      </c>
      <c r="AD68">
        <f t="shared" si="5"/>
        <v>2252.9433274453913</v>
      </c>
      <c r="AE68">
        <f t="shared" si="0"/>
        <v>237.67788186457619</v>
      </c>
      <c r="AF68">
        <f t="shared" si="6"/>
        <v>123640.98117563428</v>
      </c>
      <c r="AG68">
        <f t="shared" si="7"/>
        <v>11535.618471089187</v>
      </c>
      <c r="AO68">
        <f t="shared" si="8"/>
        <v>60</v>
      </c>
      <c r="AP68">
        <f t="shared" si="9"/>
        <v>230752.31306613982</v>
      </c>
      <c r="AQ68">
        <f t="shared" si="10"/>
        <v>1738.2525289845053</v>
      </c>
      <c r="AR68">
        <f t="shared" si="11"/>
        <v>2752.9433274453913</v>
      </c>
      <c r="AS68">
        <f t="shared" si="1"/>
        <v>1014.6907984608861</v>
      </c>
      <c r="AT68">
        <f t="shared" si="12"/>
        <v>115928.91271286325</v>
      </c>
      <c r="AU68">
        <f t="shared" si="13"/>
        <v>49247.686933860183</v>
      </c>
    </row>
    <row r="69" spans="13:47" ht="14.4">
      <c r="M69" s="45">
        <v>5</v>
      </c>
      <c r="N69" s="45">
        <f>IF(M69*12&gt;$AX$2,0,INDEX($AB$9:$AB$608,M69*12))</f>
        <v>268464.38152891077</v>
      </c>
      <c r="O69" s="45">
        <f>IF(M69*12&gt;$AX$8,0,INDEX($AP$9:$AP$608,M69*12))</f>
        <v>230752.31306613982</v>
      </c>
      <c r="AA69">
        <f t="shared" si="2"/>
        <v>61</v>
      </c>
      <c r="AB69">
        <f t="shared" si="3"/>
        <v>268224.92106293223</v>
      </c>
      <c r="AC69">
        <f t="shared" si="4"/>
        <v>2013.4828614668306</v>
      </c>
      <c r="AD69">
        <f t="shared" si="5"/>
        <v>2252.9433274453913</v>
      </c>
      <c r="AE69">
        <f t="shared" si="0"/>
        <v>239.46046597856071</v>
      </c>
      <c r="AF69">
        <f t="shared" si="6"/>
        <v>125654.46403710112</v>
      </c>
      <c r="AG69">
        <f t="shared" si="7"/>
        <v>11775.078937067747</v>
      </c>
      <c r="AO69">
        <f t="shared" si="8"/>
        <v>61</v>
      </c>
      <c r="AP69">
        <f t="shared" si="9"/>
        <v>229730.01208669046</v>
      </c>
      <c r="AQ69">
        <f t="shared" si="10"/>
        <v>1730.6423479960486</v>
      </c>
      <c r="AR69">
        <f t="shared" si="11"/>
        <v>2752.9433274453913</v>
      </c>
      <c r="AS69">
        <f t="shared" si="1"/>
        <v>1022.3009794493428</v>
      </c>
      <c r="AT69">
        <f t="shared" si="12"/>
        <v>117659.5550608593</v>
      </c>
      <c r="AU69">
        <f t="shared" si="13"/>
        <v>50269.987913309524</v>
      </c>
    </row>
    <row r="70" spans="13:47" ht="14.4">
      <c r="M70" s="45">
        <v>6</v>
      </c>
      <c r="N70" s="45">
        <f>IF(M70*12&gt;$AX$2,0,INDEX($AB$9:$AB$608,M70*12))</f>
        <v>265469.30907180457</v>
      </c>
      <c r="O70" s="45">
        <f>IF(M70*12&gt;$AX$8,0,INDEX($AP$9:$AP$608,M70*12))</f>
        <v>217965.79528371972</v>
      </c>
      <c r="AA70">
        <f t="shared" si="2"/>
        <v>62</v>
      </c>
      <c r="AB70">
        <f t="shared" si="3"/>
        <v>267983.66464345885</v>
      </c>
      <c r="AC70">
        <f t="shared" si="4"/>
        <v>2011.6869079719918</v>
      </c>
      <c r="AD70">
        <f t="shared" si="5"/>
        <v>2252.9433274453913</v>
      </c>
      <c r="AE70">
        <f t="shared" si="0"/>
        <v>241.25641947339955</v>
      </c>
      <c r="AF70">
        <f t="shared" si="6"/>
        <v>127666.15094507311</v>
      </c>
      <c r="AG70">
        <f t="shared" si="7"/>
        <v>12016.335356541145</v>
      </c>
      <c r="AO70">
        <f t="shared" si="8"/>
        <v>62</v>
      </c>
      <c r="AP70">
        <f t="shared" si="9"/>
        <v>228700.04384989524</v>
      </c>
      <c r="AQ70">
        <f t="shared" si="10"/>
        <v>1722.9750906501783</v>
      </c>
      <c r="AR70">
        <f t="shared" si="11"/>
        <v>2752.9433274453913</v>
      </c>
      <c r="AS70">
        <f t="shared" si="1"/>
        <v>1029.968236795213</v>
      </c>
      <c r="AT70">
        <f t="shared" si="12"/>
        <v>119382.53015150948</v>
      </c>
      <c r="AU70">
        <f t="shared" si="13"/>
        <v>51299.956150104736</v>
      </c>
    </row>
    <row r="71" spans="13:47" ht="14.4">
      <c r="M71" s="45">
        <v>7</v>
      </c>
      <c r="N71" s="45">
        <f>IF(M71*12&gt;$AX$2,0,INDEX($AB$9:$AB$608,M71*12))</f>
        <v>262193.27815919748</v>
      </c>
      <c r="O71" s="45">
        <f>IF(M71*12&gt;$AX$8,0,INDEX($AP$9:$AP$608,M71*12))</f>
        <v>203979.813936116</v>
      </c>
      <c r="AA71">
        <f t="shared" si="2"/>
        <v>63</v>
      </c>
      <c r="AB71">
        <f t="shared" si="3"/>
        <v>267740.59880083939</v>
      </c>
      <c r="AC71">
        <f t="shared" si="4"/>
        <v>2009.8774848259413</v>
      </c>
      <c r="AD71">
        <f t="shared" si="5"/>
        <v>2252.9433274453913</v>
      </c>
      <c r="AE71">
        <f t="shared" si="0"/>
        <v>243.06584261945</v>
      </c>
      <c r="AF71">
        <f t="shared" si="6"/>
        <v>129676.02842989904</v>
      </c>
      <c r="AG71">
        <f t="shared" si="7"/>
        <v>12259.401199160595</v>
      </c>
      <c r="AO71">
        <f t="shared" si="8"/>
        <v>63</v>
      </c>
      <c r="AP71">
        <f t="shared" si="9"/>
        <v>227662.35085132407</v>
      </c>
      <c r="AQ71">
        <f t="shared" si="10"/>
        <v>1715.2503288742143</v>
      </c>
      <c r="AR71">
        <f t="shared" si="11"/>
        <v>2752.9433274453913</v>
      </c>
      <c r="AS71">
        <f t="shared" si="1"/>
        <v>1037.692998571177</v>
      </c>
      <c r="AT71">
        <f t="shared" si="12"/>
        <v>121097.78048038369</v>
      </c>
      <c r="AU71">
        <f t="shared" si="13"/>
        <v>52337.649148675911</v>
      </c>
    </row>
    <row r="72" spans="13:47" ht="14.4">
      <c r="M72" s="45">
        <v>8</v>
      </c>
      <c r="N72" s="45">
        <f>IF(M72*12&gt;$AX$2,0,INDEX($AB$9:$AB$608,M72*12))</f>
        <v>258609.93295000438</v>
      </c>
      <c r="O72" s="45">
        <f>IF(M72*12&gt;$AX$8,0,INDEX($AP$9:$AP$608,M72*12))</f>
        <v>188681.85106740938</v>
      </c>
      <c r="AA72">
        <f t="shared" si="2"/>
        <v>64</v>
      </c>
      <c r="AB72">
        <f t="shared" si="3"/>
        <v>267495.70996440027</v>
      </c>
      <c r="AC72">
        <f t="shared" si="4"/>
        <v>2008.0544910062954</v>
      </c>
      <c r="AD72">
        <f t="shared" si="5"/>
        <v>2252.9433274453913</v>
      </c>
      <c r="AE72">
        <f t="shared" si="0"/>
        <v>244.88883643909594</v>
      </c>
      <c r="AF72">
        <f t="shared" si="6"/>
        <v>131684.08292090535</v>
      </c>
      <c r="AG72">
        <f t="shared" si="7"/>
        <v>12504.29003559969</v>
      </c>
      <c r="AO72">
        <f t="shared" si="8"/>
        <v>64</v>
      </c>
      <c r="AP72">
        <f t="shared" si="9"/>
        <v>226616.87515526361</v>
      </c>
      <c r="AQ72">
        <f t="shared" si="10"/>
        <v>1707.4676313849304</v>
      </c>
      <c r="AR72">
        <f t="shared" si="11"/>
        <v>2752.9433274453913</v>
      </c>
      <c r="AS72">
        <f t="shared" si="1"/>
        <v>1045.4756960604609</v>
      </c>
      <c r="AT72">
        <f t="shared" si="12"/>
        <v>122805.24811176863</v>
      </c>
      <c r="AU72">
        <f t="shared" si="13"/>
        <v>53383.124844736376</v>
      </c>
    </row>
    <row r="73" spans="13:47" ht="14.4">
      <c r="M73" s="45">
        <v>9</v>
      </c>
      <c r="N73" s="45">
        <f>IF(M73*12&gt;$AX$2,0,INDEX($AB$9:$AB$608,M73*12))</f>
        <v>254690.44524345273</v>
      </c>
      <c r="O73" s="45">
        <f>IF(M73*12&gt;$AX$8,0,INDEX($AP$9:$AP$608,M73*12))</f>
        <v>171948.83376130342</v>
      </c>
      <c r="AA73">
        <f t="shared" si="2"/>
        <v>65</v>
      </c>
      <c r="AB73">
        <f t="shared" si="3"/>
        <v>267248.98446168791</v>
      </c>
      <c r="AC73">
        <f t="shared" si="4"/>
        <v>2006.2178247330021</v>
      </c>
      <c r="AD73">
        <f t="shared" si="5"/>
        <v>2252.9433274453913</v>
      </c>
      <c r="AE73">
        <f t="shared" ref="AE73:AE136" si="14">MAX(0,AD73-AC73)</f>
        <v>246.72550271238924</v>
      </c>
      <c r="AF73">
        <f t="shared" si="6"/>
        <v>133690.30074563835</v>
      </c>
      <c r="AG73">
        <f t="shared" si="7"/>
        <v>12751.01553831208</v>
      </c>
      <c r="AO73">
        <f t="shared" si="8"/>
        <v>65</v>
      </c>
      <c r="AP73">
        <f t="shared" si="9"/>
        <v>225563.55839148269</v>
      </c>
      <c r="AQ73">
        <f t="shared" si="10"/>
        <v>1699.6265636644771</v>
      </c>
      <c r="AR73">
        <f t="shared" si="11"/>
        <v>2752.9433274453913</v>
      </c>
      <c r="AS73">
        <f t="shared" ref="AS73:AS136" si="15">MAX(0,AR73-AQ73)</f>
        <v>1053.3167637809142</v>
      </c>
      <c r="AT73">
        <f t="shared" si="12"/>
        <v>124504.87467543311</v>
      </c>
      <c r="AU73">
        <f t="shared" si="13"/>
        <v>54436.441608517292</v>
      </c>
    </row>
    <row r="74" spans="13:47" ht="14.4">
      <c r="M74" s="45">
        <v>10</v>
      </c>
      <c r="N74" s="45">
        <f>IF(M74*12&gt;$AX$2,0,INDEX($AB$9:$AB$608,M74*12))</f>
        <v>250403.28255468991</v>
      </c>
      <c r="O74" s="45">
        <f>IF(M74*12&gt;$AX$8,0,INDEX($AP$9:$AP$608,M74*12))</f>
        <v>153646.1440130368</v>
      </c>
      <c r="AA74">
        <f t="shared" ref="AA74:AA137" si="16">AA73+1</f>
        <v>66</v>
      </c>
      <c r="AB74">
        <f t="shared" ref="AB74:AB137" si="17">MAX(0,AB73-AE74)</f>
        <v>267000.40851770516</v>
      </c>
      <c r="AC74">
        <f t="shared" ref="AC74:AC137" si="18">IF(AB73&lt;=0,0,AB73*$AA$6)</f>
        <v>2004.3673834626593</v>
      </c>
      <c r="AD74">
        <f t="shared" ref="AD74:AD137" si="19">IF(AB73&lt;=0,0,MIN($AC$6,AB73+AC74))</f>
        <v>2252.9433274453913</v>
      </c>
      <c r="AE74">
        <f t="shared" si="14"/>
        <v>248.57594398273204</v>
      </c>
      <c r="AF74">
        <f t="shared" ref="AF74:AF137" si="20">AF73+AC74</f>
        <v>135694.66812910102</v>
      </c>
      <c r="AG74">
        <f t="shared" ref="AG74:AG137" si="21">AG73+AE74</f>
        <v>12999.591482294813</v>
      </c>
      <c r="AO74">
        <f t="shared" ref="AO74:AO137" si="22">AO73+1</f>
        <v>66</v>
      </c>
      <c r="AP74">
        <f t="shared" ref="AP74:AP137" si="23">MAX(0,AP73-AS74)</f>
        <v>224502.34175197341</v>
      </c>
      <c r="AQ74">
        <f t="shared" ref="AQ74:AQ137" si="24">IF(AP73&lt;=0,0,AP73*$AA$6)</f>
        <v>1691.72668793612</v>
      </c>
      <c r="AR74">
        <f t="shared" ref="AR74:AR137" si="25">IF(AP73&lt;=0,0,MIN($AD$6,AP73+AQ74))</f>
        <v>2752.9433274453913</v>
      </c>
      <c r="AS74">
        <f t="shared" si="15"/>
        <v>1061.2166395092713</v>
      </c>
      <c r="AT74">
        <f t="shared" ref="AT74:AT137" si="26">AT73+AQ74</f>
        <v>126196.60136336923</v>
      </c>
      <c r="AU74">
        <f t="shared" ref="AU74:AU137" si="27">AU73+AS74</f>
        <v>55497.658248026564</v>
      </c>
    </row>
    <row r="75" spans="13:47" ht="14.4">
      <c r="M75" s="45">
        <v>11</v>
      </c>
      <c r="N75" s="45">
        <f>IF(M75*12&gt;$AX$2,0,INDEX($AB$9:$AB$608,M75*12))</f>
        <v>245713.95443428337</v>
      </c>
      <c r="O75" s="45">
        <f>IF(M75*12&gt;$AX$8,0,INDEX($AP$9:$AP$608,M75*12))</f>
        <v>133626.53572045083</v>
      </c>
      <c r="AA75">
        <f t="shared" si="16"/>
        <v>67</v>
      </c>
      <c r="AB75">
        <f t="shared" si="17"/>
        <v>266749.96825414256</v>
      </c>
      <c r="AC75">
        <f t="shared" si="18"/>
        <v>2002.5030638827886</v>
      </c>
      <c r="AD75">
        <f t="shared" si="19"/>
        <v>2252.9433274453913</v>
      </c>
      <c r="AE75">
        <f t="shared" si="14"/>
        <v>250.44026356260269</v>
      </c>
      <c r="AF75">
        <f t="shared" si="20"/>
        <v>137697.17119298381</v>
      </c>
      <c r="AG75">
        <f t="shared" si="21"/>
        <v>13250.031745857415</v>
      </c>
      <c r="AO75">
        <f t="shared" si="22"/>
        <v>67</v>
      </c>
      <c r="AP75">
        <f t="shared" si="23"/>
        <v>223433.1659876678</v>
      </c>
      <c r="AQ75">
        <f t="shared" si="24"/>
        <v>1683.7675631398006</v>
      </c>
      <c r="AR75">
        <f t="shared" si="25"/>
        <v>2752.9433274453913</v>
      </c>
      <c r="AS75">
        <f t="shared" si="15"/>
        <v>1069.1757643055907</v>
      </c>
      <c r="AT75">
        <f t="shared" si="26"/>
        <v>127880.36892650904</v>
      </c>
      <c r="AU75">
        <f t="shared" si="27"/>
        <v>56566.834012332154</v>
      </c>
    </row>
    <row r="76" spans="13:47" ht="14.4">
      <c r="M76" s="45">
        <v>12</v>
      </c>
      <c r="N76" s="45">
        <f>IF(M76*12&gt;$AX$2,0,INDEX($AB$9:$AB$608,M76*12))</f>
        <v>240584.73499074031</v>
      </c>
      <c r="O76" s="45">
        <f>IF(M76*12&gt;$AX$8,0,INDEX($AP$9:$AP$608,M76*12))</f>
        <v>111728.95008134909</v>
      </c>
      <c r="AA76">
        <f t="shared" si="16"/>
        <v>68</v>
      </c>
      <c r="AB76">
        <f t="shared" si="17"/>
        <v>266497.64968860324</v>
      </c>
      <c r="AC76">
        <f t="shared" si="18"/>
        <v>2000.6247619060691</v>
      </c>
      <c r="AD76">
        <f t="shared" si="19"/>
        <v>2252.9433274453913</v>
      </c>
      <c r="AE76">
        <f t="shared" si="14"/>
        <v>252.31856553932221</v>
      </c>
      <c r="AF76">
        <f t="shared" si="20"/>
        <v>139697.79595488988</v>
      </c>
      <c r="AG76">
        <f t="shared" si="21"/>
        <v>13502.350311396738</v>
      </c>
      <c r="AO76">
        <f t="shared" si="22"/>
        <v>68</v>
      </c>
      <c r="AP76">
        <f t="shared" si="23"/>
        <v>222355.97140512991</v>
      </c>
      <c r="AQ76">
        <f t="shared" si="24"/>
        <v>1675.7487449075084</v>
      </c>
      <c r="AR76">
        <f t="shared" si="25"/>
        <v>2752.9433274453913</v>
      </c>
      <c r="AS76">
        <f t="shared" si="15"/>
        <v>1077.194582537883</v>
      </c>
      <c r="AT76">
        <f t="shared" si="26"/>
        <v>129556.11767141655</v>
      </c>
      <c r="AU76">
        <f t="shared" si="27"/>
        <v>57644.02859487004</v>
      </c>
    </row>
    <row r="77" spans="13:47" ht="14.4">
      <c r="M77" s="45">
        <v>13</v>
      </c>
      <c r="N77" s="45">
        <f>IF(M77*12&gt;$AX$2,0,INDEX($AB$9:$AB$608,M77*12))</f>
        <v>234974.35938372475</v>
      </c>
      <c r="O77" s="45">
        <f>IF(M77*12&gt;$AX$8,0,INDEX($AP$9:$AP$608,M77*12))</f>
        <v>87777.21986695852</v>
      </c>
      <c r="AA77">
        <f t="shared" si="16"/>
        <v>69</v>
      </c>
      <c r="AB77">
        <f t="shared" si="17"/>
        <v>266243.43873382238</v>
      </c>
      <c r="AC77">
        <f t="shared" si="18"/>
        <v>1998.7323726645243</v>
      </c>
      <c r="AD77">
        <f t="shared" si="19"/>
        <v>2252.9433274453913</v>
      </c>
      <c r="AE77">
        <f t="shared" si="14"/>
        <v>254.21095478086704</v>
      </c>
      <c r="AF77">
        <f t="shared" si="20"/>
        <v>141696.52832755441</v>
      </c>
      <c r="AG77">
        <f t="shared" si="21"/>
        <v>13756.561266177605</v>
      </c>
      <c r="AO77">
        <f t="shared" si="22"/>
        <v>69</v>
      </c>
      <c r="AP77">
        <f t="shared" si="23"/>
        <v>221270.697863223</v>
      </c>
      <c r="AQ77">
        <f t="shared" si="24"/>
        <v>1667.6697855384743</v>
      </c>
      <c r="AR77">
        <f t="shared" si="25"/>
        <v>2752.9433274453913</v>
      </c>
      <c r="AS77">
        <f t="shared" si="15"/>
        <v>1085.273541906917</v>
      </c>
      <c r="AT77">
        <f t="shared" si="26"/>
        <v>131223.78745695503</v>
      </c>
      <c r="AU77">
        <f t="shared" si="27"/>
        <v>58729.302136776954</v>
      </c>
    </row>
    <row r="78" spans="13:47" ht="14.4">
      <c r="M78" s="45">
        <v>14</v>
      </c>
      <c r="N78" s="45">
        <f>IF(M78*12&gt;$AX$2,0,INDEX($AB$9:$AB$608,M78*12))</f>
        <v>228837.69184624605</v>
      </c>
      <c r="O78" s="45">
        <f>IF(M78*12&gt;$AX$8,0,INDEX($AP$9:$AP$608,M78*12))</f>
        <v>61578.652147303626</v>
      </c>
      <c r="AA78">
        <f t="shared" si="16"/>
        <v>70</v>
      </c>
      <c r="AB78">
        <f t="shared" si="17"/>
        <v>265987.32119688066</v>
      </c>
      <c r="AC78">
        <f t="shared" si="18"/>
        <v>1996.8257905036678</v>
      </c>
      <c r="AD78">
        <f t="shared" si="19"/>
        <v>2252.9433274453913</v>
      </c>
      <c r="AE78">
        <f t="shared" si="14"/>
        <v>256.11753694172353</v>
      </c>
      <c r="AF78">
        <f t="shared" si="20"/>
        <v>143693.35411805808</v>
      </c>
      <c r="AG78">
        <f t="shared" si="21"/>
        <v>14012.678803119328</v>
      </c>
      <c r="AO78">
        <f t="shared" si="22"/>
        <v>70</v>
      </c>
      <c r="AP78">
        <f t="shared" si="23"/>
        <v>220177.28476975177</v>
      </c>
      <c r="AQ78">
        <f t="shared" si="24"/>
        <v>1659.5302339741725</v>
      </c>
      <c r="AR78">
        <f t="shared" si="25"/>
        <v>2752.9433274453913</v>
      </c>
      <c r="AS78">
        <f t="shared" si="15"/>
        <v>1093.4130934712189</v>
      </c>
      <c r="AT78">
        <f t="shared" si="26"/>
        <v>132883.31769092919</v>
      </c>
      <c r="AU78">
        <f t="shared" si="27"/>
        <v>59822.71523024817</v>
      </c>
    </row>
    <row r="79" spans="13:47" ht="14.4">
      <c r="M79" s="45">
        <v>15</v>
      </c>
      <c r="N79" s="45">
        <f>IF(M79*12&gt;$AX$2,0,INDEX($AB$9:$AB$608,M79*12))</f>
        <v>222125.36256503829</v>
      </c>
      <c r="O79" s="45">
        <f>IF(M79*12&gt;$AX$8,0,INDEX($AP$9:$AP$608,M79*12))</f>
        <v>32922.478066444739</v>
      </c>
      <c r="AA79">
        <f t="shared" si="16"/>
        <v>71</v>
      </c>
      <c r="AB79">
        <f t="shared" si="17"/>
        <v>265729.28277841187</v>
      </c>
      <c r="AC79">
        <f t="shared" si="18"/>
        <v>1994.9049089766049</v>
      </c>
      <c r="AD79">
        <f t="shared" si="19"/>
        <v>2252.9433274453913</v>
      </c>
      <c r="AE79">
        <f t="shared" si="14"/>
        <v>258.0384184687864</v>
      </c>
      <c r="AF79">
        <f t="shared" si="20"/>
        <v>145688.25902703468</v>
      </c>
      <c r="AG79">
        <f t="shared" si="21"/>
        <v>14270.717221588115</v>
      </c>
      <c r="AO79">
        <f t="shared" si="22"/>
        <v>71</v>
      </c>
      <c r="AP79">
        <f t="shared" si="23"/>
        <v>219075.67107807953</v>
      </c>
      <c r="AQ79">
        <f t="shared" si="24"/>
        <v>1651.3296357731383</v>
      </c>
      <c r="AR79">
        <f t="shared" si="25"/>
        <v>2752.9433274453913</v>
      </c>
      <c r="AS79">
        <f t="shared" si="15"/>
        <v>1101.613691672253</v>
      </c>
      <c r="AT79">
        <f t="shared" si="26"/>
        <v>134534.64732670234</v>
      </c>
      <c r="AU79">
        <f t="shared" si="27"/>
        <v>60924.328921920423</v>
      </c>
    </row>
    <row r="80" spans="13:47" ht="14.4">
      <c r="M80" s="45">
        <v>16</v>
      </c>
      <c r="N80" s="45">
        <f>IF(M80*12&gt;$AX$2,0,INDEX($AB$9:$AB$608,M80*12))</f>
        <v>214783.37049781432</v>
      </c>
      <c r="O80" s="45">
        <f>IF(M80*12&gt;$AX$8,0,INDEX($AP$9:$AP$608,M80*12))</f>
        <v>1578.1571959408493</v>
      </c>
      <c r="AA80">
        <f t="shared" si="16"/>
        <v>72</v>
      </c>
      <c r="AB80">
        <f t="shared" si="17"/>
        <v>265469.30907180457</v>
      </c>
      <c r="AC80">
        <f t="shared" si="18"/>
        <v>1992.969620838089</v>
      </c>
      <c r="AD80">
        <f t="shared" si="19"/>
        <v>2252.9433274453913</v>
      </c>
      <c r="AE80">
        <f t="shared" si="14"/>
        <v>259.97370660730235</v>
      </c>
      <c r="AF80">
        <f t="shared" si="20"/>
        <v>147681.22864787278</v>
      </c>
      <c r="AG80">
        <f t="shared" si="21"/>
        <v>14530.690928195418</v>
      </c>
      <c r="AO80">
        <f t="shared" si="22"/>
        <v>72</v>
      </c>
      <c r="AP80">
        <f t="shared" si="23"/>
        <v>217965.79528371972</v>
      </c>
      <c r="AQ80">
        <f t="shared" si="24"/>
        <v>1643.0675330855963</v>
      </c>
      <c r="AR80">
        <f t="shared" si="25"/>
        <v>2752.9433274453913</v>
      </c>
      <c r="AS80">
        <f t="shared" si="15"/>
        <v>1109.875794359795</v>
      </c>
      <c r="AT80">
        <f t="shared" si="26"/>
        <v>136177.71485978793</v>
      </c>
      <c r="AU80">
        <f t="shared" si="27"/>
        <v>62034.204716280219</v>
      </c>
    </row>
    <row r="81" spans="13:47" ht="14.4">
      <c r="M81" s="45">
        <v>17</v>
      </c>
      <c r="N81" s="45">
        <f>IF(M81*12&gt;$AX$2,0,INDEX($AB$9:$AB$608,M81*12))</f>
        <v>206752.64893203913</v>
      </c>
      <c r="O81" s="45">
        <f>IF(M81*12&gt;$AX$8,0,INDEX($AP$9:$AP$608,M81*12))</f>
        <v>0</v>
      </c>
      <c r="AA81">
        <f t="shared" si="16"/>
        <v>73</v>
      </c>
      <c r="AB81">
        <f t="shared" si="17"/>
        <v>265207.38556239771</v>
      </c>
      <c r="AC81">
        <f t="shared" si="18"/>
        <v>1991.0198180385341</v>
      </c>
      <c r="AD81">
        <f t="shared" si="19"/>
        <v>2252.9433274453913</v>
      </c>
      <c r="AE81">
        <f t="shared" si="14"/>
        <v>261.92350940685719</v>
      </c>
      <c r="AF81">
        <f t="shared" si="20"/>
        <v>149672.24846591131</v>
      </c>
      <c r="AG81">
        <f t="shared" si="21"/>
        <v>14792.614437602275</v>
      </c>
      <c r="AO81">
        <f t="shared" si="22"/>
        <v>73</v>
      </c>
      <c r="AP81">
        <f t="shared" si="23"/>
        <v>216847.59542090222</v>
      </c>
      <c r="AQ81">
        <f t="shared" si="24"/>
        <v>1634.7434646278978</v>
      </c>
      <c r="AR81">
        <f t="shared" si="25"/>
        <v>2752.9433274453913</v>
      </c>
      <c r="AS81">
        <f t="shared" si="15"/>
        <v>1118.1998628174936</v>
      </c>
      <c r="AT81">
        <f t="shared" si="26"/>
        <v>137812.45832441581</v>
      </c>
      <c r="AU81">
        <f t="shared" si="27"/>
        <v>63152.404579097711</v>
      </c>
    </row>
    <row r="82" spans="13:47" ht="14.4">
      <c r="M82" s="45">
        <v>18</v>
      </c>
      <c r="N82" s="45">
        <f>IF(M82*12&gt;$AX$2,0,INDEX($AB$9:$AB$608,M82*12))</f>
        <v>197968.59029011906</v>
      </c>
      <c r="O82" s="45">
        <f>IF(M82*12&gt;$AX$8,0,INDEX($AP$9:$AP$608,M82*12))</f>
        <v>0</v>
      </c>
      <c r="AA82">
        <f t="shared" si="16"/>
        <v>74</v>
      </c>
      <c r="AB82">
        <f t="shared" si="17"/>
        <v>264943.49762667029</v>
      </c>
      <c r="AC82">
        <f t="shared" si="18"/>
        <v>1989.0553917179827</v>
      </c>
      <c r="AD82">
        <f t="shared" si="19"/>
        <v>2252.9433274453913</v>
      </c>
      <c r="AE82">
        <f t="shared" si="14"/>
        <v>263.8879357274086</v>
      </c>
      <c r="AF82">
        <f t="shared" si="20"/>
        <v>151661.3038576293</v>
      </c>
      <c r="AG82">
        <f t="shared" si="21"/>
        <v>15056.502373329684</v>
      </c>
      <c r="AO82">
        <f t="shared" si="22"/>
        <v>74</v>
      </c>
      <c r="AP82">
        <f t="shared" si="23"/>
        <v>215721.0090591136</v>
      </c>
      <c r="AQ82">
        <f t="shared" si="24"/>
        <v>1626.3569656567665</v>
      </c>
      <c r="AR82">
        <f t="shared" si="25"/>
        <v>2752.9433274453913</v>
      </c>
      <c r="AS82">
        <f t="shared" si="15"/>
        <v>1126.5863617886248</v>
      </c>
      <c r="AT82">
        <f t="shared" si="26"/>
        <v>139438.81529007258</v>
      </c>
      <c r="AU82">
        <f t="shared" si="27"/>
        <v>64278.990940886339</v>
      </c>
    </row>
    <row r="83" spans="13:47" ht="14.4">
      <c r="M83" s="45">
        <v>19</v>
      </c>
      <c r="N83" s="45">
        <f>IF(M83*12&gt;$AX$2,0,INDEX($AB$9:$AB$608,M83*12))</f>
        <v>188360.52635804052</v>
      </c>
      <c r="O83" s="45">
        <f>IF(M83*12&gt;$AX$8,0,INDEX($AP$9:$AP$608,M83*12))</f>
        <v>0</v>
      </c>
      <c r="AA83">
        <f t="shared" si="16"/>
        <v>75</v>
      </c>
      <c r="AB83">
        <f t="shared" si="17"/>
        <v>264677.63053142495</v>
      </c>
      <c r="AC83">
        <f t="shared" si="18"/>
        <v>1987.0762322000271</v>
      </c>
      <c r="AD83">
        <f t="shared" si="19"/>
        <v>2252.9433274453913</v>
      </c>
      <c r="AE83">
        <f t="shared" si="14"/>
        <v>265.86709524536423</v>
      </c>
      <c r="AF83">
        <f t="shared" si="20"/>
        <v>153648.38008982933</v>
      </c>
      <c r="AG83">
        <f t="shared" si="21"/>
        <v>15322.369468575049</v>
      </c>
      <c r="AO83">
        <f t="shared" si="22"/>
        <v>75</v>
      </c>
      <c r="AP83">
        <f t="shared" si="23"/>
        <v>214585.97329961156</v>
      </c>
      <c r="AQ83">
        <f t="shared" si="24"/>
        <v>1617.907567943352</v>
      </c>
      <c r="AR83">
        <f t="shared" si="25"/>
        <v>2752.9433274453913</v>
      </c>
      <c r="AS83">
        <f t="shared" si="15"/>
        <v>1135.0357595020394</v>
      </c>
      <c r="AT83">
        <f t="shared" si="26"/>
        <v>141056.72285801594</v>
      </c>
      <c r="AU83">
        <f t="shared" si="27"/>
        <v>65414.026700388378</v>
      </c>
    </row>
    <row r="84" spans="13:47" ht="14.4">
      <c r="M84" s="45">
        <v>20</v>
      </c>
      <c r="N84" s="45">
        <f>IF(M84*12&gt;$AX$2,0,INDEX($AB$9:$AB$608,M84*12))</f>
        <v>177851.15975586916</v>
      </c>
      <c r="O84" s="45">
        <f>IF(M84*12&gt;$AX$8,0,INDEX($AP$9:$AP$608,M84*12))</f>
        <v>0</v>
      </c>
      <c r="AA84">
        <f t="shared" si="16"/>
        <v>76</v>
      </c>
      <c r="AB84">
        <f t="shared" si="17"/>
        <v>264409.76943296526</v>
      </c>
      <c r="AC84">
        <f t="shared" si="18"/>
        <v>1985.0822289856869</v>
      </c>
      <c r="AD84">
        <f t="shared" si="19"/>
        <v>2252.9433274453913</v>
      </c>
      <c r="AE84">
        <f t="shared" si="14"/>
        <v>267.86109845970441</v>
      </c>
      <c r="AF84">
        <f t="shared" si="20"/>
        <v>155633.462318815</v>
      </c>
      <c r="AG84">
        <f t="shared" si="21"/>
        <v>15590.230567034752</v>
      </c>
      <c r="AO84">
        <f t="shared" si="22"/>
        <v>76</v>
      </c>
      <c r="AP84">
        <f t="shared" si="23"/>
        <v>213442.42477191327</v>
      </c>
      <c r="AQ84">
        <f t="shared" si="24"/>
        <v>1609.3947997470866</v>
      </c>
      <c r="AR84">
        <f t="shared" si="25"/>
        <v>2752.9433274453913</v>
      </c>
      <c r="AS84">
        <f t="shared" si="15"/>
        <v>1143.5485276983047</v>
      </c>
      <c r="AT84">
        <f t="shared" si="26"/>
        <v>142666.11765776304</v>
      </c>
      <c r="AU84">
        <f t="shared" si="27"/>
        <v>66557.575228086687</v>
      </c>
    </row>
    <row r="85" spans="13:47" ht="14.4">
      <c r="M85" s="45">
        <v>21</v>
      </c>
      <c r="N85" s="45">
        <f>IF(M85*12&gt;$AX$2,0,INDEX($AB$9:$AB$608,M85*12))</f>
        <v>166355.94207626116</v>
      </c>
      <c r="O85" s="45">
        <f>IF(M85*12&gt;$AX$8,0,INDEX($AP$9:$AP$608,M85*12))</f>
        <v>0</v>
      </c>
      <c r="AA85">
        <f t="shared" si="16"/>
        <v>77</v>
      </c>
      <c r="AB85">
        <f t="shared" si="17"/>
        <v>264139.8993762671</v>
      </c>
      <c r="AC85">
        <f t="shared" si="18"/>
        <v>1983.0732707472393</v>
      </c>
      <c r="AD85">
        <f t="shared" si="19"/>
        <v>2252.9433274453913</v>
      </c>
      <c r="AE85">
        <f t="shared" si="14"/>
        <v>269.87005669815198</v>
      </c>
      <c r="AF85">
        <f t="shared" si="20"/>
        <v>157616.53558956223</v>
      </c>
      <c r="AG85">
        <f t="shared" si="21"/>
        <v>15860.100623732904</v>
      </c>
      <c r="AO85">
        <f t="shared" si="22"/>
        <v>77</v>
      </c>
      <c r="AP85">
        <f t="shared" si="23"/>
        <v>212290.29963025721</v>
      </c>
      <c r="AQ85">
        <f t="shared" si="24"/>
        <v>1600.8181857893494</v>
      </c>
      <c r="AR85">
        <f t="shared" si="25"/>
        <v>2752.9433274453913</v>
      </c>
      <c r="AS85">
        <f t="shared" si="15"/>
        <v>1152.1251416560419</v>
      </c>
      <c r="AT85">
        <f t="shared" si="26"/>
        <v>144266.93584355238</v>
      </c>
      <c r="AU85">
        <f t="shared" si="27"/>
        <v>67709.700369742728</v>
      </c>
    </row>
    <row r="86" spans="13:47" ht="14.4">
      <c r="M86" s="45">
        <v>22</v>
      </c>
      <c r="N86" s="45">
        <f>IF(M86*12&gt;$AX$2,0,INDEX($AB$9:$AB$608,M86*12))</f>
        <v>153782.39368807644</v>
      </c>
      <c r="O86" s="45">
        <f>IF(M86*12&gt;$AX$8,0,INDEX($AP$9:$AP$608,M86*12))</f>
        <v>0</v>
      </c>
      <c r="AA86">
        <f t="shared" si="16"/>
        <v>78</v>
      </c>
      <c r="AB86">
        <f t="shared" si="17"/>
        <v>263868.00529414369</v>
      </c>
      <c r="AC86">
        <f t="shared" si="18"/>
        <v>1981.0492453220031</v>
      </c>
      <c r="AD86">
        <f t="shared" si="19"/>
        <v>2252.9433274453913</v>
      </c>
      <c r="AE86">
        <f t="shared" si="14"/>
        <v>271.89408212338822</v>
      </c>
      <c r="AF86">
        <f t="shared" si="20"/>
        <v>159597.58483488424</v>
      </c>
      <c r="AG86">
        <f t="shared" si="21"/>
        <v>16131.994705856292</v>
      </c>
      <c r="AO86">
        <f t="shared" si="22"/>
        <v>78</v>
      </c>
      <c r="AP86">
        <f t="shared" si="23"/>
        <v>211129.53355003876</v>
      </c>
      <c r="AQ86">
        <f t="shared" si="24"/>
        <v>1592.177247226929</v>
      </c>
      <c r="AR86">
        <f t="shared" si="25"/>
        <v>2752.9433274453913</v>
      </c>
      <c r="AS86">
        <f t="shared" si="15"/>
        <v>1160.7660802184623</v>
      </c>
      <c r="AT86">
        <f t="shared" si="26"/>
        <v>145859.11309077931</v>
      </c>
      <c r="AU86">
        <f t="shared" si="27"/>
        <v>68870.466449961197</v>
      </c>
    </row>
    <row r="87" spans="13:47" ht="14.4">
      <c r="M87" s="45">
        <v>23</v>
      </c>
      <c r="N87" s="45">
        <f>IF(M87*12&gt;$AX$2,0,INDEX($AB$9:$AB$608,M87*12))</f>
        <v>140029.35973288014</v>
      </c>
      <c r="O87" s="45">
        <f>IF(M87*12&gt;$AX$8,0,INDEX($AP$9:$AP$608,M87*12))</f>
        <v>0</v>
      </c>
      <c r="AA87">
        <f t="shared" si="16"/>
        <v>79</v>
      </c>
      <c r="AB87">
        <f t="shared" si="17"/>
        <v>263594.0720064044</v>
      </c>
      <c r="AC87">
        <f t="shared" si="18"/>
        <v>1979.0100397060776</v>
      </c>
      <c r="AD87">
        <f t="shared" si="19"/>
        <v>2252.9433274453913</v>
      </c>
      <c r="AE87">
        <f t="shared" si="14"/>
        <v>273.93328773931376</v>
      </c>
      <c r="AF87">
        <f t="shared" si="20"/>
        <v>161576.59487459032</v>
      </c>
      <c r="AG87">
        <f t="shared" si="21"/>
        <v>16405.927993595607</v>
      </c>
      <c r="AO87">
        <f t="shared" si="22"/>
        <v>79</v>
      </c>
      <c r="AP87">
        <f t="shared" si="23"/>
        <v>209960.06172421866</v>
      </c>
      <c r="AQ87">
        <f t="shared" si="24"/>
        <v>1583.4715016252906</v>
      </c>
      <c r="AR87">
        <f t="shared" si="25"/>
        <v>2752.9433274453913</v>
      </c>
      <c r="AS87">
        <f t="shared" si="15"/>
        <v>1169.4718258201008</v>
      </c>
      <c r="AT87">
        <f t="shared" si="26"/>
        <v>147442.5845924046</v>
      </c>
      <c r="AU87">
        <f t="shared" si="27"/>
        <v>70039.9382757813</v>
      </c>
    </row>
    <row r="88" spans="13:47" ht="14.4">
      <c r="M88" s="45">
        <v>24</v>
      </c>
      <c r="N88" s="45">
        <f>IF(M88*12&gt;$AX$2,0,INDEX($AB$9:$AB$608,M88*12))</f>
        <v>124986.19632878316</v>
      </c>
      <c r="O88" s="45">
        <f>IF(M88*12&gt;$AX$8,0,INDEX($AP$9:$AP$608,M88*12))</f>
        <v>0</v>
      </c>
      <c r="AA88">
        <f t="shared" si="16"/>
        <v>80</v>
      </c>
      <c r="AB88">
        <f t="shared" si="17"/>
        <v>263318.08421900705</v>
      </c>
      <c r="AC88">
        <f t="shared" si="18"/>
        <v>1976.9555400480328</v>
      </c>
      <c r="AD88">
        <f t="shared" si="19"/>
        <v>2252.9433274453913</v>
      </c>
      <c r="AE88">
        <f t="shared" si="14"/>
        <v>275.98778739735849</v>
      </c>
      <c r="AF88">
        <f t="shared" si="20"/>
        <v>163553.55041463836</v>
      </c>
      <c r="AG88">
        <f t="shared" si="21"/>
        <v>16681.915780992967</v>
      </c>
      <c r="AO88">
        <f t="shared" si="22"/>
        <v>80</v>
      </c>
      <c r="AP88">
        <f t="shared" si="23"/>
        <v>208781.81885970492</v>
      </c>
      <c r="AQ88">
        <f t="shared" si="24"/>
        <v>1574.7004629316398</v>
      </c>
      <c r="AR88">
        <f t="shared" si="25"/>
        <v>2752.9433274453913</v>
      </c>
      <c r="AS88">
        <f t="shared" si="15"/>
        <v>1178.2428645137516</v>
      </c>
      <c r="AT88">
        <f t="shared" si="26"/>
        <v>149017.28505533625</v>
      </c>
      <c r="AU88">
        <f t="shared" si="27"/>
        <v>71218.181140295055</v>
      </c>
    </row>
    <row r="89" spans="13:47" ht="14.4">
      <c r="M89" s="45">
        <v>25</v>
      </c>
      <c r="N89" s="45">
        <f>IF(M89*12&gt;$AX$2,0,INDEX($AB$9:$AB$608,M89*12))</f>
        <v>108531.88043459019</v>
      </c>
      <c r="O89" s="45">
        <f>IF(M89*12&gt;$AX$8,0,INDEX($AP$9:$AP$608,M89*12))</f>
        <v>0</v>
      </c>
      <c r="AA89">
        <f t="shared" si="16"/>
        <v>81</v>
      </c>
      <c r="AB89">
        <f t="shared" si="17"/>
        <v>263040.02652320423</v>
      </c>
      <c r="AC89">
        <f t="shared" si="18"/>
        <v>1974.8856316425529</v>
      </c>
      <c r="AD89">
        <f t="shared" si="19"/>
        <v>2252.9433274453913</v>
      </c>
      <c r="AE89">
        <f t="shared" si="14"/>
        <v>278.05769580283845</v>
      </c>
      <c r="AF89">
        <f t="shared" si="20"/>
        <v>165528.43604628093</v>
      </c>
      <c r="AG89">
        <f t="shared" si="21"/>
        <v>16959.973476795807</v>
      </c>
      <c r="AO89">
        <f t="shared" si="22"/>
        <v>81</v>
      </c>
      <c r="AP89">
        <f t="shared" si="23"/>
        <v>207594.73917370732</v>
      </c>
      <c r="AQ89">
        <f t="shared" si="24"/>
        <v>1565.8636414477869</v>
      </c>
      <c r="AR89">
        <f t="shared" si="25"/>
        <v>2752.9433274453913</v>
      </c>
      <c r="AS89">
        <f t="shared" si="15"/>
        <v>1187.0796859976044</v>
      </c>
      <c r="AT89">
        <f t="shared" si="26"/>
        <v>150583.14869678405</v>
      </c>
      <c r="AU89">
        <f t="shared" si="27"/>
        <v>72405.260826292666</v>
      </c>
    </row>
    <row r="90" spans="13:47" ht="14.4">
      <c r="M90" s="45">
        <v>26</v>
      </c>
      <c r="N90" s="45">
        <f>IF(M90*12&gt;$AX$2,0,INDEX($AB$9:$AB$608,M90*12))</f>
        <v>90534.036213064654</v>
      </c>
      <c r="O90" s="45">
        <f>IF(M90*12&gt;$AX$8,0,INDEX($AP$9:$AP$608,M90*12))</f>
        <v>0</v>
      </c>
      <c r="AA90">
        <f t="shared" si="16"/>
        <v>82</v>
      </c>
      <c r="AB90">
        <f t="shared" si="17"/>
        <v>262759.8833946829</v>
      </c>
      <c r="AC90">
        <f t="shared" si="18"/>
        <v>1972.8001989240317</v>
      </c>
      <c r="AD90">
        <f t="shared" si="19"/>
        <v>2252.9433274453913</v>
      </c>
      <c r="AE90">
        <f t="shared" si="14"/>
        <v>280.14312852135959</v>
      </c>
      <c r="AF90">
        <f t="shared" si="20"/>
        <v>167501.23624520496</v>
      </c>
      <c r="AG90">
        <f t="shared" si="21"/>
        <v>17240.116605317166</v>
      </c>
      <c r="AO90">
        <f t="shared" si="22"/>
        <v>82</v>
      </c>
      <c r="AP90">
        <f t="shared" si="23"/>
        <v>206398.75639006472</v>
      </c>
      <c r="AQ90">
        <f t="shared" si="24"/>
        <v>1556.9605438028048</v>
      </c>
      <c r="AR90">
        <f t="shared" si="25"/>
        <v>2752.9433274453913</v>
      </c>
      <c r="AS90">
        <f t="shared" si="15"/>
        <v>1195.9827836425866</v>
      </c>
      <c r="AT90">
        <f t="shared" si="26"/>
        <v>152140.10924058684</v>
      </c>
      <c r="AU90">
        <f t="shared" si="27"/>
        <v>73601.243609935249</v>
      </c>
    </row>
    <row r="91" spans="13:47" ht="14.4">
      <c r="M91" s="45">
        <v>27</v>
      </c>
      <c r="N91" s="45">
        <f>IF(M91*12&gt;$AX$2,0,INDEX($AB$9:$AB$608,M91*12))</f>
        <v>70847.870060352157</v>
      </c>
      <c r="O91" s="45">
        <f>IF(M91*12&gt;$AX$8,0,INDEX($AP$9:$AP$608,M91*12))</f>
        <v>0</v>
      </c>
      <c r="AA91">
        <f t="shared" si="16"/>
        <v>83</v>
      </c>
      <c r="AB91">
        <f t="shared" si="17"/>
        <v>262477.63919269765</v>
      </c>
      <c r="AC91">
        <f t="shared" si="18"/>
        <v>1970.6991254601216</v>
      </c>
      <c r="AD91">
        <f t="shared" si="19"/>
        <v>2252.9433274453913</v>
      </c>
      <c r="AE91">
        <f t="shared" si="14"/>
        <v>282.24420198526968</v>
      </c>
      <c r="AF91">
        <f t="shared" si="20"/>
        <v>169471.93537066507</v>
      </c>
      <c r="AG91">
        <f t="shared" si="21"/>
        <v>17522.360807302437</v>
      </c>
      <c r="AO91">
        <f t="shared" si="22"/>
        <v>83</v>
      </c>
      <c r="AP91">
        <f t="shared" si="23"/>
        <v>205193.80373554482</v>
      </c>
      <c r="AQ91">
        <f t="shared" si="24"/>
        <v>1547.9906729254853</v>
      </c>
      <c r="AR91">
        <f t="shared" si="25"/>
        <v>2752.9433274453913</v>
      </c>
      <c r="AS91">
        <f t="shared" si="15"/>
        <v>1204.952654519906</v>
      </c>
      <c r="AT91">
        <f t="shared" si="26"/>
        <v>153688.09991351233</v>
      </c>
      <c r="AU91">
        <f t="shared" si="27"/>
        <v>74806.196264455153</v>
      </c>
    </row>
    <row r="92" spans="13:47" ht="14.4">
      <c r="M92" s="45">
        <v>28</v>
      </c>
      <c r="N92" s="45">
        <f>IF(M92*12&gt;$AX$2,0,INDEX($AB$9:$AB$608,M92*12))</f>
        <v>49315.005733818209</v>
      </c>
      <c r="O92" s="45">
        <f>IF(M92*12&gt;$AX$8,0,INDEX($AP$9:$AP$608,M92*12))</f>
        <v>0</v>
      </c>
      <c r="AA92">
        <f t="shared" si="16"/>
        <v>84</v>
      </c>
      <c r="AB92">
        <f t="shared" si="17"/>
        <v>262193.27815919748</v>
      </c>
      <c r="AC92">
        <f t="shared" si="18"/>
        <v>1968.5822939452323</v>
      </c>
      <c r="AD92">
        <f t="shared" si="19"/>
        <v>2252.9433274453913</v>
      </c>
      <c r="AE92">
        <f t="shared" si="14"/>
        <v>284.36103350015901</v>
      </c>
      <c r="AF92">
        <f t="shared" si="20"/>
        <v>171440.51766461029</v>
      </c>
      <c r="AG92">
        <f t="shared" si="21"/>
        <v>17806.721840802595</v>
      </c>
      <c r="AO92">
        <f t="shared" si="22"/>
        <v>84</v>
      </c>
      <c r="AP92">
        <f t="shared" si="23"/>
        <v>203979.813936116</v>
      </c>
      <c r="AQ92">
        <f t="shared" si="24"/>
        <v>1538.953528016586</v>
      </c>
      <c r="AR92">
        <f t="shared" si="25"/>
        <v>2752.9433274453913</v>
      </c>
      <c r="AS92">
        <f t="shared" si="15"/>
        <v>1213.9897994288053</v>
      </c>
      <c r="AT92">
        <f t="shared" si="26"/>
        <v>155227.0534415289</v>
      </c>
      <c r="AU92">
        <f t="shared" si="27"/>
        <v>76020.186063883957</v>
      </c>
    </row>
    <row r="93" spans="13:47" ht="14.4">
      <c r="M93" s="45">
        <v>29</v>
      </c>
      <c r="N93" s="45">
        <f>IF(M93*12&gt;$AX$2,0,INDEX($AB$9:$AB$608,M93*12))</f>
        <v>25762.210206841919</v>
      </c>
      <c r="O93" s="45">
        <f>IF(M93*12&gt;$AX$8,0,INDEX($AP$9:$AP$608,M93*12))</f>
        <v>0</v>
      </c>
      <c r="AA93">
        <f t="shared" si="16"/>
        <v>85</v>
      </c>
      <c r="AB93">
        <f t="shared" si="17"/>
        <v>261906.78441794607</v>
      </c>
      <c r="AC93">
        <f t="shared" si="18"/>
        <v>1966.4495861939811</v>
      </c>
      <c r="AD93">
        <f t="shared" si="19"/>
        <v>2252.9433274453913</v>
      </c>
      <c r="AE93">
        <f t="shared" si="14"/>
        <v>286.49374125141026</v>
      </c>
      <c r="AF93">
        <f t="shared" si="20"/>
        <v>173406.96725080427</v>
      </c>
      <c r="AG93">
        <f t="shared" si="21"/>
        <v>18093.215582054007</v>
      </c>
      <c r="AO93">
        <f t="shared" si="22"/>
        <v>85</v>
      </c>
      <c r="AP93">
        <f t="shared" si="23"/>
        <v>202756.71921319148</v>
      </c>
      <c r="AQ93">
        <f t="shared" si="24"/>
        <v>1529.8486045208699</v>
      </c>
      <c r="AR93">
        <f t="shared" si="25"/>
        <v>2752.9433274453913</v>
      </c>
      <c r="AS93">
        <f t="shared" si="15"/>
        <v>1223.0947229245214</v>
      </c>
      <c r="AT93">
        <f t="shared" si="26"/>
        <v>156756.90204604977</v>
      </c>
      <c r="AU93">
        <f t="shared" si="27"/>
        <v>77243.280786808478</v>
      </c>
    </row>
    <row r="94" spans="13:47" ht="14.4">
      <c r="M94" s="45">
        <v>30</v>
      </c>
      <c r="N94" s="45">
        <f>IF(M94*12&gt;$AX$2,0,INDEX($AB$9:$AB$608,M94*12))</f>
        <v>9.7134034149348736E-10</v>
      </c>
      <c r="O94" s="45">
        <f>IF(M94*12&gt;$AX$8,0,INDEX($AP$9:$AP$608,M94*12))</f>
        <v>0</v>
      </c>
      <c r="AA94">
        <f t="shared" si="16"/>
        <v>86</v>
      </c>
      <c r="AB94">
        <f t="shared" si="17"/>
        <v>261618.14197363527</v>
      </c>
      <c r="AC94">
        <f t="shared" si="18"/>
        <v>1964.3008831345953</v>
      </c>
      <c r="AD94">
        <f t="shared" si="19"/>
        <v>2252.9433274453913</v>
      </c>
      <c r="AE94">
        <f t="shared" si="14"/>
        <v>288.64244431079601</v>
      </c>
      <c r="AF94">
        <f t="shared" si="20"/>
        <v>175371.26813393887</v>
      </c>
      <c r="AG94">
        <f t="shared" si="21"/>
        <v>18381.858026364804</v>
      </c>
      <c r="AO94">
        <f t="shared" si="22"/>
        <v>86</v>
      </c>
      <c r="AP94">
        <f t="shared" si="23"/>
        <v>201524.45127984503</v>
      </c>
      <c r="AQ94">
        <f t="shared" si="24"/>
        <v>1520.6753940989361</v>
      </c>
      <c r="AR94">
        <f t="shared" si="25"/>
        <v>2752.9433274453913</v>
      </c>
      <c r="AS94">
        <f t="shared" si="15"/>
        <v>1232.2679333464553</v>
      </c>
      <c r="AT94">
        <f t="shared" si="26"/>
        <v>158277.57744014871</v>
      </c>
      <c r="AU94">
        <f t="shared" si="27"/>
        <v>78475.54872015494</v>
      </c>
    </row>
    <row r="95" spans="13:47" ht="14.4">
      <c r="M95">
        <v>31</v>
      </c>
      <c r="N95">
        <f>IF(M95*12&gt;$AX$2,0,INDEX($AB$9:$AB$608,M95*12))</f>
        <v>0</v>
      </c>
      <c r="O95">
        <f>IF(M95*12&gt;$AX$8,0,INDEX($AP$9:$AP$608,M95*12))</f>
        <v>0</v>
      </c>
      <c r="AA95">
        <f t="shared" si="16"/>
        <v>87</v>
      </c>
      <c r="AB95">
        <f t="shared" si="17"/>
        <v>261327.33471099215</v>
      </c>
      <c r="AC95">
        <f t="shared" si="18"/>
        <v>1962.1360648022644</v>
      </c>
      <c r="AD95">
        <f t="shared" si="19"/>
        <v>2252.9433274453913</v>
      </c>
      <c r="AE95">
        <f t="shared" si="14"/>
        <v>290.80726264312693</v>
      </c>
      <c r="AF95">
        <f t="shared" si="20"/>
        <v>177333.40419874113</v>
      </c>
      <c r="AG95">
        <f t="shared" si="21"/>
        <v>18672.665289007931</v>
      </c>
      <c r="AO95">
        <f t="shared" si="22"/>
        <v>87</v>
      </c>
      <c r="AP95">
        <f t="shared" si="23"/>
        <v>200282.94133699848</v>
      </c>
      <c r="AQ95">
        <f t="shared" si="24"/>
        <v>1511.4333845988376</v>
      </c>
      <c r="AR95">
        <f t="shared" si="25"/>
        <v>2752.9433274453913</v>
      </c>
      <c r="AS95">
        <f t="shared" si="15"/>
        <v>1241.5099428465537</v>
      </c>
      <c r="AT95">
        <f t="shared" si="26"/>
        <v>159789.01082474756</v>
      </c>
      <c r="AU95">
        <f t="shared" si="27"/>
        <v>79717.058663001488</v>
      </c>
    </row>
    <row r="96" spans="13:47" ht="14.4">
      <c r="AA96">
        <f t="shared" si="16"/>
        <v>88</v>
      </c>
      <c r="AB96">
        <f t="shared" si="17"/>
        <v>261034.34639387918</v>
      </c>
      <c r="AC96">
        <f t="shared" si="18"/>
        <v>1959.9550103324409</v>
      </c>
      <c r="AD96">
        <f t="shared" si="19"/>
        <v>2252.9433274453913</v>
      </c>
      <c r="AE96">
        <f t="shared" si="14"/>
        <v>292.98831711295043</v>
      </c>
      <c r="AF96">
        <f t="shared" si="20"/>
        <v>179293.35920907356</v>
      </c>
      <c r="AG96">
        <f t="shared" si="21"/>
        <v>18965.653606120883</v>
      </c>
      <c r="AO96">
        <f t="shared" si="22"/>
        <v>88</v>
      </c>
      <c r="AP96">
        <f t="shared" si="23"/>
        <v>199032.12006958059</v>
      </c>
      <c r="AQ96">
        <f t="shared" si="24"/>
        <v>1502.1220600274885</v>
      </c>
      <c r="AR96">
        <f t="shared" si="25"/>
        <v>2752.9433274453913</v>
      </c>
      <c r="AS96">
        <f t="shared" si="15"/>
        <v>1250.8212674179028</v>
      </c>
      <c r="AT96">
        <f t="shared" si="26"/>
        <v>161291.13288477506</v>
      </c>
      <c r="AU96">
        <f t="shared" si="27"/>
        <v>80967.879930419396</v>
      </c>
    </row>
    <row r="97" spans="27:47" ht="14.4">
      <c r="AA97">
        <f t="shared" si="16"/>
        <v>89</v>
      </c>
      <c r="AB97">
        <f t="shared" si="17"/>
        <v>260739.16066438789</v>
      </c>
      <c r="AC97">
        <f t="shared" si="18"/>
        <v>1957.7575979540939</v>
      </c>
      <c r="AD97">
        <f t="shared" si="19"/>
        <v>2252.9433274453913</v>
      </c>
      <c r="AE97">
        <f t="shared" si="14"/>
        <v>295.18572949129748</v>
      </c>
      <c r="AF97">
        <f t="shared" si="20"/>
        <v>181251.11680702766</v>
      </c>
      <c r="AG97">
        <f t="shared" si="21"/>
        <v>19260.839335612181</v>
      </c>
      <c r="AO97">
        <f t="shared" si="22"/>
        <v>89</v>
      </c>
      <c r="AP97">
        <f t="shared" si="23"/>
        <v>197771.91764265706</v>
      </c>
      <c r="AQ97">
        <f t="shared" si="24"/>
        <v>1492.7409005218544</v>
      </c>
      <c r="AR97">
        <f t="shared" si="25"/>
        <v>2752.9433274453913</v>
      </c>
      <c r="AS97">
        <f t="shared" si="15"/>
        <v>1260.2024269235369</v>
      </c>
      <c r="AT97">
        <f t="shared" si="26"/>
        <v>162783.87378529692</v>
      </c>
      <c r="AU97">
        <f t="shared" si="27"/>
        <v>82228.082357342937</v>
      </c>
    </row>
    <row r="98" spans="27:47" ht="14.4">
      <c r="AA98">
        <f t="shared" si="16"/>
        <v>90</v>
      </c>
      <c r="AB98">
        <f t="shared" si="17"/>
        <v>260441.76104192541</v>
      </c>
      <c r="AC98">
        <f t="shared" si="18"/>
        <v>1955.543704982909</v>
      </c>
      <c r="AD98">
        <f t="shared" si="19"/>
        <v>2252.9433274453913</v>
      </c>
      <c r="AE98">
        <f t="shared" si="14"/>
        <v>297.39962246248228</v>
      </c>
      <c r="AF98">
        <f t="shared" si="20"/>
        <v>183206.66051201057</v>
      </c>
      <c r="AG98">
        <f t="shared" si="21"/>
        <v>19558.238958074664</v>
      </c>
      <c r="AO98">
        <f t="shared" si="22"/>
        <v>90</v>
      </c>
      <c r="AP98">
        <f t="shared" si="23"/>
        <v>196502.2636975316</v>
      </c>
      <c r="AQ98">
        <f t="shared" si="24"/>
        <v>1483.2893823199279</v>
      </c>
      <c r="AR98">
        <f t="shared" si="25"/>
        <v>2752.9433274453913</v>
      </c>
      <c r="AS98">
        <f t="shared" si="15"/>
        <v>1269.6539451254635</v>
      </c>
      <c r="AT98">
        <f t="shared" si="26"/>
        <v>164267.16316761685</v>
      </c>
      <c r="AU98">
        <f t="shared" si="27"/>
        <v>83497.736302468402</v>
      </c>
    </row>
    <row r="99" spans="27:47" ht="14.4">
      <c r="AA99">
        <f t="shared" si="16"/>
        <v>91</v>
      </c>
      <c r="AB99">
        <f t="shared" si="17"/>
        <v>260142.13092229445</v>
      </c>
      <c r="AC99">
        <f t="shared" si="18"/>
        <v>1953.3132078144404</v>
      </c>
      <c r="AD99">
        <f t="shared" si="19"/>
        <v>2252.9433274453913</v>
      </c>
      <c r="AE99">
        <f t="shared" si="14"/>
        <v>299.63011963095096</v>
      </c>
      <c r="AF99">
        <f t="shared" si="20"/>
        <v>185159.97371982501</v>
      </c>
      <c r="AG99">
        <f t="shared" si="21"/>
        <v>19857.869077705614</v>
      </c>
      <c r="AO99">
        <f t="shared" si="22"/>
        <v>91</v>
      </c>
      <c r="AP99">
        <f t="shared" si="23"/>
        <v>195223.08734781769</v>
      </c>
      <c r="AQ99">
        <f t="shared" si="24"/>
        <v>1473.766977731487</v>
      </c>
      <c r="AR99">
        <f t="shared" si="25"/>
        <v>2752.9433274453913</v>
      </c>
      <c r="AS99">
        <f t="shared" si="15"/>
        <v>1279.1763497139043</v>
      </c>
      <c r="AT99">
        <f t="shared" si="26"/>
        <v>165740.93014534833</v>
      </c>
      <c r="AU99">
        <f t="shared" si="27"/>
        <v>84776.912652182305</v>
      </c>
    </row>
    <row r="100" spans="27:47" ht="14.4">
      <c r="AA100">
        <f t="shared" si="16"/>
        <v>92</v>
      </c>
      <c r="AB100">
        <f t="shared" si="17"/>
        <v>259840.25357676626</v>
      </c>
      <c r="AC100">
        <f t="shared" si="18"/>
        <v>1951.0659819172083</v>
      </c>
      <c r="AD100">
        <f t="shared" si="19"/>
        <v>2252.9433274453913</v>
      </c>
      <c r="AE100">
        <f t="shared" si="14"/>
        <v>301.87734552818301</v>
      </c>
      <c r="AF100">
        <f t="shared" si="20"/>
        <v>187111.03970174221</v>
      </c>
      <c r="AG100">
        <f t="shared" si="21"/>
        <v>20159.746423233799</v>
      </c>
      <c r="AO100">
        <f t="shared" si="22"/>
        <v>92</v>
      </c>
      <c r="AP100">
        <f t="shared" si="23"/>
        <v>193934.31717548094</v>
      </c>
      <c r="AQ100">
        <f t="shared" si="24"/>
        <v>1464.1731551086327</v>
      </c>
      <c r="AR100">
        <f t="shared" si="25"/>
        <v>2752.9433274453913</v>
      </c>
      <c r="AS100">
        <f t="shared" si="15"/>
        <v>1288.7701723367586</v>
      </c>
      <c r="AT100">
        <f t="shared" si="26"/>
        <v>167205.10330045698</v>
      </c>
      <c r="AU100">
        <f t="shared" si="27"/>
        <v>86065.68282451907</v>
      </c>
    </row>
    <row r="101" spans="27:47" ht="14.4">
      <c r="AA101">
        <f t="shared" si="16"/>
        <v>93</v>
      </c>
      <c r="AB101">
        <f t="shared" si="17"/>
        <v>259536.1121511466</v>
      </c>
      <c r="AC101">
        <f t="shared" si="18"/>
        <v>1948.8019018257469</v>
      </c>
      <c r="AD101">
        <f t="shared" si="19"/>
        <v>2252.9433274453913</v>
      </c>
      <c r="AE101">
        <f t="shared" si="14"/>
        <v>304.14142561964445</v>
      </c>
      <c r="AF101">
        <f t="shared" si="20"/>
        <v>189059.84160356794</v>
      </c>
      <c r="AG101">
        <f t="shared" si="21"/>
        <v>20463.887848853443</v>
      </c>
      <c r="AO101">
        <f t="shared" si="22"/>
        <v>93</v>
      </c>
      <c r="AP101">
        <f t="shared" si="23"/>
        <v>192635.88122685166</v>
      </c>
      <c r="AQ101">
        <f t="shared" si="24"/>
        <v>1454.5073788161071</v>
      </c>
      <c r="AR101">
        <f t="shared" si="25"/>
        <v>2752.9433274453913</v>
      </c>
      <c r="AS101">
        <f t="shared" si="15"/>
        <v>1298.4359486292842</v>
      </c>
      <c r="AT101">
        <f t="shared" si="26"/>
        <v>168659.61067927309</v>
      </c>
      <c r="AU101">
        <f t="shared" si="27"/>
        <v>87364.118773148351</v>
      </c>
    </row>
    <row r="102" spans="27:47" ht="14.4">
      <c r="AA102">
        <f t="shared" si="16"/>
        <v>94</v>
      </c>
      <c r="AB102">
        <f t="shared" si="17"/>
        <v>259229.68966483482</v>
      </c>
      <c r="AC102">
        <f t="shared" si="18"/>
        <v>1946.5208411335996</v>
      </c>
      <c r="AD102">
        <f t="shared" si="19"/>
        <v>2252.9433274453913</v>
      </c>
      <c r="AE102">
        <f t="shared" si="14"/>
        <v>306.42248631179177</v>
      </c>
      <c r="AF102">
        <f t="shared" si="20"/>
        <v>191006.36244470155</v>
      </c>
      <c r="AG102">
        <f t="shared" si="21"/>
        <v>20770.310335165235</v>
      </c>
      <c r="AO102">
        <f t="shared" si="22"/>
        <v>94</v>
      </c>
      <c r="AP102">
        <f t="shared" si="23"/>
        <v>191327.70700860766</v>
      </c>
      <c r="AQ102">
        <f t="shared" si="24"/>
        <v>1444.7691092013874</v>
      </c>
      <c r="AR102">
        <f t="shared" si="25"/>
        <v>2752.9433274453913</v>
      </c>
      <c r="AS102">
        <f t="shared" si="15"/>
        <v>1308.1742182440039</v>
      </c>
      <c r="AT102">
        <f t="shared" si="26"/>
        <v>170104.37978847447</v>
      </c>
      <c r="AU102">
        <f t="shared" si="27"/>
        <v>88672.292991392358</v>
      </c>
    </row>
    <row r="103" spans="27:47" ht="14.4">
      <c r="AA103">
        <f t="shared" si="16"/>
        <v>95</v>
      </c>
      <c r="AB103">
        <f t="shared" si="17"/>
        <v>258920.9690098757</v>
      </c>
      <c r="AC103">
        <f t="shared" si="18"/>
        <v>1944.222672486261</v>
      </c>
      <c r="AD103">
        <f t="shared" si="19"/>
        <v>2252.9433274453913</v>
      </c>
      <c r="AE103">
        <f t="shared" si="14"/>
        <v>308.72065495913034</v>
      </c>
      <c r="AF103">
        <f t="shared" si="20"/>
        <v>192950.58511718782</v>
      </c>
      <c r="AG103">
        <f t="shared" si="21"/>
        <v>21079.030990124367</v>
      </c>
      <c r="AO103">
        <f t="shared" si="22"/>
        <v>95</v>
      </c>
      <c r="AP103">
        <f t="shared" si="23"/>
        <v>190009.72148372681</v>
      </c>
      <c r="AQ103">
        <f t="shared" si="24"/>
        <v>1434.9578025645574</v>
      </c>
      <c r="AR103">
        <f t="shared" si="25"/>
        <v>2752.9433274453913</v>
      </c>
      <c r="AS103">
        <f t="shared" si="15"/>
        <v>1317.985524880834</v>
      </c>
      <c r="AT103">
        <f t="shared" si="26"/>
        <v>171539.33759103902</v>
      </c>
      <c r="AU103">
        <f t="shared" si="27"/>
        <v>89990.278516273189</v>
      </c>
    </row>
    <row r="104" spans="27:47" ht="14.4">
      <c r="AA104">
        <f t="shared" si="16"/>
        <v>96</v>
      </c>
      <c r="AB104">
        <f t="shared" si="17"/>
        <v>258609.93295000438</v>
      </c>
      <c r="AC104">
        <f t="shared" si="18"/>
        <v>1941.9072675740676</v>
      </c>
      <c r="AD104">
        <f t="shared" si="19"/>
        <v>2252.9433274453913</v>
      </c>
      <c r="AE104">
        <f t="shared" si="14"/>
        <v>311.03605987132369</v>
      </c>
      <c r="AF104">
        <f t="shared" si="20"/>
        <v>194892.49238476189</v>
      </c>
      <c r="AG104">
        <f t="shared" si="21"/>
        <v>21390.06704999569</v>
      </c>
      <c r="AO104">
        <f t="shared" si="22"/>
        <v>96</v>
      </c>
      <c r="AP104">
        <f t="shared" si="23"/>
        <v>188681.85106740938</v>
      </c>
      <c r="AQ104">
        <f t="shared" si="24"/>
        <v>1425.0729111279511</v>
      </c>
      <c r="AR104">
        <f t="shared" si="25"/>
        <v>2752.9433274453913</v>
      </c>
      <c r="AS104">
        <f t="shared" si="15"/>
        <v>1327.8704163174402</v>
      </c>
      <c r="AT104">
        <f t="shared" si="26"/>
        <v>172964.41050216698</v>
      </c>
      <c r="AU104">
        <f t="shared" si="27"/>
        <v>91318.14893259063</v>
      </c>
    </row>
    <row r="105" spans="27:47" ht="14.4">
      <c r="AA105">
        <f t="shared" si="16"/>
        <v>97</v>
      </c>
      <c r="AB105">
        <f t="shared" si="17"/>
        <v>258296.56411968402</v>
      </c>
      <c r="AC105">
        <f t="shared" si="18"/>
        <v>1939.5744971250328</v>
      </c>
      <c r="AD105">
        <f t="shared" si="19"/>
        <v>2252.9433274453913</v>
      </c>
      <c r="AE105">
        <f t="shared" si="14"/>
        <v>313.36883032035848</v>
      </c>
      <c r="AF105">
        <f t="shared" si="20"/>
        <v>196832.06688188692</v>
      </c>
      <c r="AG105">
        <f t="shared" si="21"/>
        <v>21703.43588031605</v>
      </c>
      <c r="AO105">
        <f t="shared" si="22"/>
        <v>97</v>
      </c>
      <c r="AP105">
        <f t="shared" si="23"/>
        <v>187344.02162296957</v>
      </c>
      <c r="AQ105">
        <f t="shared" si="24"/>
        <v>1415.1138830055704</v>
      </c>
      <c r="AR105">
        <f t="shared" si="25"/>
        <v>2752.9433274453913</v>
      </c>
      <c r="AS105">
        <f t="shared" si="15"/>
        <v>1337.8294444398209</v>
      </c>
      <c r="AT105">
        <f t="shared" si="26"/>
        <v>174379.52438517255</v>
      </c>
      <c r="AU105">
        <f t="shared" si="27"/>
        <v>92655.978377030449</v>
      </c>
    </row>
    <row r="106" spans="27:47" ht="14.4">
      <c r="AA106">
        <f t="shared" si="16"/>
        <v>98</v>
      </c>
      <c r="AB106">
        <f t="shared" si="17"/>
        <v>257980.84502313627</v>
      </c>
      <c r="AC106">
        <f t="shared" si="18"/>
        <v>1937.2242308976302</v>
      </c>
      <c r="AD106">
        <f t="shared" si="19"/>
        <v>2252.9433274453913</v>
      </c>
      <c r="AE106">
        <f t="shared" si="14"/>
        <v>315.71909654776118</v>
      </c>
      <c r="AF106">
        <f t="shared" si="20"/>
        <v>198769.29111278456</v>
      </c>
      <c r="AG106">
        <f t="shared" si="21"/>
        <v>22019.154976863811</v>
      </c>
      <c r="AO106">
        <f t="shared" si="22"/>
        <v>98</v>
      </c>
      <c r="AP106">
        <f t="shared" si="23"/>
        <v>185996.15845769644</v>
      </c>
      <c r="AQ106">
        <f t="shared" si="24"/>
        <v>1405.0801621722717</v>
      </c>
      <c r="AR106">
        <f t="shared" si="25"/>
        <v>2752.9433274453913</v>
      </c>
      <c r="AS106">
        <f t="shared" si="15"/>
        <v>1347.8631652731196</v>
      </c>
      <c r="AT106">
        <f t="shared" si="26"/>
        <v>175784.60454734482</v>
      </c>
      <c r="AU106">
        <f t="shared" si="27"/>
        <v>94003.841542303562</v>
      </c>
    </row>
    <row r="107" spans="27:47" ht="14.4">
      <c r="AA107">
        <f t="shared" si="16"/>
        <v>99</v>
      </c>
      <c r="AB107">
        <f t="shared" si="17"/>
        <v>257662.7580333644</v>
      </c>
      <c r="AC107">
        <f t="shared" si="18"/>
        <v>1934.8563376735219</v>
      </c>
      <c r="AD107">
        <f t="shared" si="19"/>
        <v>2252.9433274453913</v>
      </c>
      <c r="AE107">
        <f t="shared" si="14"/>
        <v>318.08698977186941</v>
      </c>
      <c r="AF107">
        <f t="shared" si="20"/>
        <v>200704.14745045808</v>
      </c>
      <c r="AG107">
        <f t="shared" si="21"/>
        <v>22337.24196663568</v>
      </c>
      <c r="AO107">
        <f t="shared" si="22"/>
        <v>99</v>
      </c>
      <c r="AP107">
        <f t="shared" si="23"/>
        <v>184638.18631868376</v>
      </c>
      <c r="AQ107">
        <f t="shared" si="24"/>
        <v>1394.9711884327232</v>
      </c>
      <c r="AR107">
        <f t="shared" si="25"/>
        <v>2752.9433274453913</v>
      </c>
      <c r="AS107">
        <f t="shared" si="15"/>
        <v>1357.9721390126681</v>
      </c>
      <c r="AT107">
        <f t="shared" si="26"/>
        <v>177179.57573577753</v>
      </c>
      <c r="AU107">
        <f t="shared" si="27"/>
        <v>95361.813681316227</v>
      </c>
    </row>
    <row r="108" spans="27:47" ht="14.4">
      <c r="AA108">
        <f t="shared" si="16"/>
        <v>100</v>
      </c>
      <c r="AB108">
        <f t="shared" si="17"/>
        <v>257342.28539116925</v>
      </c>
      <c r="AC108">
        <f t="shared" si="18"/>
        <v>1932.4706852502329</v>
      </c>
      <c r="AD108">
        <f t="shared" si="19"/>
        <v>2252.9433274453913</v>
      </c>
      <c r="AE108">
        <f t="shared" si="14"/>
        <v>320.47264219515841</v>
      </c>
      <c r="AF108">
        <f t="shared" si="20"/>
        <v>202636.61813570833</v>
      </c>
      <c r="AG108">
        <f t="shared" si="21"/>
        <v>22657.71460883084</v>
      </c>
      <c r="AO108">
        <f t="shared" si="22"/>
        <v>100</v>
      </c>
      <c r="AP108">
        <f t="shared" si="23"/>
        <v>183270.02938862849</v>
      </c>
      <c r="AQ108">
        <f t="shared" si="24"/>
        <v>1384.7863973901281</v>
      </c>
      <c r="AR108">
        <f t="shared" si="25"/>
        <v>2752.9433274453913</v>
      </c>
      <c r="AS108">
        <f t="shared" si="15"/>
        <v>1368.1569300552633</v>
      </c>
      <c r="AT108">
        <f t="shared" si="26"/>
        <v>178564.36213316765</v>
      </c>
      <c r="AU108">
        <f t="shared" si="27"/>
        <v>96729.970611371493</v>
      </c>
    </row>
    <row r="109" spans="27:47" ht="14.4">
      <c r="AA109">
        <f t="shared" si="16"/>
        <v>101</v>
      </c>
      <c r="AB109">
        <f t="shared" si="17"/>
        <v>257019.40920415762</v>
      </c>
      <c r="AC109">
        <f t="shared" si="18"/>
        <v>1930.0671404337693</v>
      </c>
      <c r="AD109">
        <f t="shared" si="19"/>
        <v>2252.9433274453913</v>
      </c>
      <c r="AE109">
        <f t="shared" si="14"/>
        <v>322.87618701162205</v>
      </c>
      <c r="AF109">
        <f t="shared" si="20"/>
        <v>204566.68527614209</v>
      </c>
      <c r="AG109">
        <f t="shared" si="21"/>
        <v>22980.590795842461</v>
      </c>
      <c r="AO109">
        <f t="shared" si="22"/>
        <v>101</v>
      </c>
      <c r="AP109">
        <f t="shared" si="23"/>
        <v>181891.61128159781</v>
      </c>
      <c r="AQ109">
        <f t="shared" si="24"/>
        <v>1374.5252204147137</v>
      </c>
      <c r="AR109">
        <f t="shared" si="25"/>
        <v>2752.9433274453913</v>
      </c>
      <c r="AS109">
        <f t="shared" si="15"/>
        <v>1378.4181070306777</v>
      </c>
      <c r="AT109">
        <f t="shared" si="26"/>
        <v>179938.88735358237</v>
      </c>
      <c r="AU109">
        <f t="shared" si="27"/>
        <v>98108.388718402173</v>
      </c>
    </row>
    <row r="110" spans="27:47" ht="14.4">
      <c r="AA110">
        <f t="shared" si="16"/>
        <v>102</v>
      </c>
      <c r="AB110">
        <f t="shared" si="17"/>
        <v>256694.11144574342</v>
      </c>
      <c r="AC110">
        <f t="shared" si="18"/>
        <v>1927.645569031182</v>
      </c>
      <c r="AD110">
        <f t="shared" si="19"/>
        <v>2252.9433274453913</v>
      </c>
      <c r="AE110">
        <f t="shared" si="14"/>
        <v>325.29775841420928</v>
      </c>
      <c r="AF110">
        <f t="shared" si="20"/>
        <v>206494.33084517327</v>
      </c>
      <c r="AG110">
        <f t="shared" si="21"/>
        <v>23305.888554256671</v>
      </c>
      <c r="AO110">
        <f t="shared" si="22"/>
        <v>102</v>
      </c>
      <c r="AP110">
        <f t="shared" si="23"/>
        <v>180502.85503876439</v>
      </c>
      <c r="AQ110">
        <f t="shared" si="24"/>
        <v>1364.1870846119834</v>
      </c>
      <c r="AR110">
        <f t="shared" si="25"/>
        <v>2752.9433274453913</v>
      </c>
      <c r="AS110">
        <f t="shared" si="15"/>
        <v>1388.7562428334079</v>
      </c>
      <c r="AT110">
        <f t="shared" si="26"/>
        <v>181303.07443819434</v>
      </c>
      <c r="AU110">
        <f t="shared" si="27"/>
        <v>99497.144961235579</v>
      </c>
    </row>
    <row r="111" spans="27:47" ht="14.4">
      <c r="AA111">
        <f t="shared" si="16"/>
        <v>103</v>
      </c>
      <c r="AB111">
        <f t="shared" si="17"/>
        <v>256366.37395414111</v>
      </c>
      <c r="AC111">
        <f t="shared" si="18"/>
        <v>1925.2058358430756</v>
      </c>
      <c r="AD111">
        <f t="shared" si="19"/>
        <v>2252.9433274453913</v>
      </c>
      <c r="AE111">
        <f t="shared" si="14"/>
        <v>327.73749160231569</v>
      </c>
      <c r="AF111">
        <f t="shared" si="20"/>
        <v>208419.53668101635</v>
      </c>
      <c r="AG111">
        <f t="shared" si="21"/>
        <v>23633.626045858986</v>
      </c>
      <c r="AO111">
        <f t="shared" si="22"/>
        <v>103</v>
      </c>
      <c r="AP111">
        <f t="shared" si="23"/>
        <v>179103.68312410972</v>
      </c>
      <c r="AQ111">
        <f t="shared" si="24"/>
        <v>1353.7714127907329</v>
      </c>
      <c r="AR111">
        <f t="shared" si="25"/>
        <v>2752.9433274453913</v>
      </c>
      <c r="AS111">
        <f t="shared" si="15"/>
        <v>1399.1719146546584</v>
      </c>
      <c r="AT111">
        <f t="shared" si="26"/>
        <v>182656.84585098506</v>
      </c>
      <c r="AU111">
        <f t="shared" si="27"/>
        <v>100896.31687589023</v>
      </c>
    </row>
    <row r="112" spans="27:47" ht="14.4">
      <c r="AA112">
        <f t="shared" si="16"/>
        <v>104</v>
      </c>
      <c r="AB112">
        <f t="shared" si="17"/>
        <v>256036.17843135179</v>
      </c>
      <c r="AC112">
        <f t="shared" si="18"/>
        <v>1922.7478046560582</v>
      </c>
      <c r="AD112">
        <f t="shared" si="19"/>
        <v>2252.9433274453913</v>
      </c>
      <c r="AE112">
        <f t="shared" si="14"/>
        <v>330.19552278933315</v>
      </c>
      <c r="AF112">
        <f t="shared" si="20"/>
        <v>210342.28448567243</v>
      </c>
      <c r="AG112">
        <f t="shared" si="21"/>
        <v>23963.82156864832</v>
      </c>
      <c r="AO112">
        <f t="shared" si="22"/>
        <v>104</v>
      </c>
      <c r="AP112">
        <f t="shared" si="23"/>
        <v>177694.01742009516</v>
      </c>
      <c r="AQ112">
        <f t="shared" si="24"/>
        <v>1343.2776234308228</v>
      </c>
      <c r="AR112">
        <f t="shared" si="25"/>
        <v>2752.9433274453913</v>
      </c>
      <c r="AS112">
        <f t="shared" si="15"/>
        <v>1409.6657040145685</v>
      </c>
      <c r="AT112">
        <f t="shared" si="26"/>
        <v>184000.12347441589</v>
      </c>
      <c r="AU112">
        <f t="shared" si="27"/>
        <v>102305.9825799048</v>
      </c>
    </row>
    <row r="113" spans="27:47" ht="14.4">
      <c r="AA113">
        <f t="shared" si="16"/>
        <v>105</v>
      </c>
      <c r="AB113">
        <f t="shared" si="17"/>
        <v>255703.50644214154</v>
      </c>
      <c r="AC113">
        <f t="shared" si="18"/>
        <v>1920.2713382351383</v>
      </c>
      <c r="AD113">
        <f t="shared" si="19"/>
        <v>2252.9433274453913</v>
      </c>
      <c r="AE113">
        <f t="shared" si="14"/>
        <v>332.67198921025306</v>
      </c>
      <c r="AF113">
        <f t="shared" si="20"/>
        <v>212262.55582390758</v>
      </c>
      <c r="AG113">
        <f t="shared" si="21"/>
        <v>24296.493557858572</v>
      </c>
      <c r="AO113">
        <f t="shared" si="22"/>
        <v>105</v>
      </c>
      <c r="AP113">
        <f t="shared" si="23"/>
        <v>176273.77922330049</v>
      </c>
      <c r="AQ113">
        <f t="shared" si="24"/>
        <v>1332.7051306507137</v>
      </c>
      <c r="AR113">
        <f t="shared" si="25"/>
        <v>2752.9433274453913</v>
      </c>
      <c r="AS113">
        <f t="shared" si="15"/>
        <v>1420.2381967946776</v>
      </c>
      <c r="AT113">
        <f t="shared" si="26"/>
        <v>185332.82860506661</v>
      </c>
      <c r="AU113">
        <f t="shared" si="27"/>
        <v>103726.22077669947</v>
      </c>
    </row>
    <row r="114" spans="27:47" ht="14.4">
      <c r="AA114">
        <f t="shared" si="16"/>
        <v>106</v>
      </c>
      <c r="AB114">
        <f t="shared" si="17"/>
        <v>255368.3394130122</v>
      </c>
      <c r="AC114">
        <f t="shared" si="18"/>
        <v>1917.7762983160615</v>
      </c>
      <c r="AD114">
        <f t="shared" si="19"/>
        <v>2252.9433274453913</v>
      </c>
      <c r="AE114">
        <f t="shared" si="14"/>
        <v>335.16702912932988</v>
      </c>
      <c r="AF114">
        <f t="shared" si="20"/>
        <v>214180.33212222363</v>
      </c>
      <c r="AG114">
        <f t="shared" si="21"/>
        <v>24631.660586987902</v>
      </c>
      <c r="AO114">
        <f t="shared" si="22"/>
        <v>106</v>
      </c>
      <c r="AP114">
        <f t="shared" si="23"/>
        <v>174842.88924002985</v>
      </c>
      <c r="AQ114">
        <f t="shared" si="24"/>
        <v>1322.0533441747536</v>
      </c>
      <c r="AR114">
        <f t="shared" si="25"/>
        <v>2752.9433274453913</v>
      </c>
      <c r="AS114">
        <f t="shared" si="15"/>
        <v>1430.8899832706377</v>
      </c>
      <c r="AT114">
        <f t="shared" si="26"/>
        <v>186654.88194924136</v>
      </c>
      <c r="AU114">
        <f t="shared" si="27"/>
        <v>105157.11075997011</v>
      </c>
    </row>
    <row r="115" spans="27:47" ht="14.4">
      <c r="AA115">
        <f t="shared" si="16"/>
        <v>107</v>
      </c>
      <c r="AB115">
        <f t="shared" si="17"/>
        <v>255030.65863116441</v>
      </c>
      <c r="AC115">
        <f t="shared" si="18"/>
        <v>1915.2625455975915</v>
      </c>
      <c r="AD115">
        <f t="shared" si="19"/>
        <v>2252.9433274453913</v>
      </c>
      <c r="AE115">
        <f t="shared" si="14"/>
        <v>337.68078184779984</v>
      </c>
      <c r="AF115">
        <f t="shared" si="20"/>
        <v>216095.59466782122</v>
      </c>
      <c r="AG115">
        <f t="shared" si="21"/>
        <v>24969.341368835703</v>
      </c>
      <c r="AO115">
        <f t="shared" si="22"/>
        <v>107</v>
      </c>
      <c r="AP115">
        <f t="shared" si="23"/>
        <v>173401.26758188469</v>
      </c>
      <c r="AQ115">
        <f t="shared" si="24"/>
        <v>1311.3216693002239</v>
      </c>
      <c r="AR115">
        <f t="shared" si="25"/>
        <v>2752.9433274453913</v>
      </c>
      <c r="AS115">
        <f t="shared" si="15"/>
        <v>1441.6216581451674</v>
      </c>
      <c r="AT115">
        <f t="shared" si="26"/>
        <v>187966.20361854159</v>
      </c>
      <c r="AU115">
        <f t="shared" si="27"/>
        <v>106598.73241811528</v>
      </c>
    </row>
    <row r="116" spans="27:47" ht="14.4">
      <c r="AA116">
        <f t="shared" si="16"/>
        <v>108</v>
      </c>
      <c r="AB116">
        <f t="shared" si="17"/>
        <v>254690.44524345273</v>
      </c>
      <c r="AC116">
        <f t="shared" si="18"/>
        <v>1912.7299397337329</v>
      </c>
      <c r="AD116">
        <f t="shared" si="19"/>
        <v>2252.9433274453913</v>
      </c>
      <c r="AE116">
        <f t="shared" si="14"/>
        <v>340.21338771165847</v>
      </c>
      <c r="AF116">
        <f t="shared" si="20"/>
        <v>218008.32460755494</v>
      </c>
      <c r="AG116">
        <f t="shared" si="21"/>
        <v>25309.554756547361</v>
      </c>
      <c r="AO116">
        <f t="shared" si="22"/>
        <v>108</v>
      </c>
      <c r="AP116">
        <f t="shared" si="23"/>
        <v>171948.83376130342</v>
      </c>
      <c r="AQ116">
        <f t="shared" si="24"/>
        <v>1300.5095068641351</v>
      </c>
      <c r="AR116">
        <f t="shared" si="25"/>
        <v>2752.9433274453913</v>
      </c>
      <c r="AS116">
        <f t="shared" si="15"/>
        <v>1452.4338205812562</v>
      </c>
      <c r="AT116">
        <f t="shared" si="26"/>
        <v>189266.71312540572</v>
      </c>
      <c r="AU116">
        <f t="shared" si="27"/>
        <v>108051.16623869653</v>
      </c>
    </row>
    <row r="117" spans="27:47" ht="14.4">
      <c r="AA117">
        <f t="shared" si="16"/>
        <v>109</v>
      </c>
      <c r="AB117">
        <f t="shared" si="17"/>
        <v>254347.68025533322</v>
      </c>
      <c r="AC117">
        <f t="shared" si="18"/>
        <v>1910.1783393258954</v>
      </c>
      <c r="AD117">
        <f t="shared" si="19"/>
        <v>2252.9433274453913</v>
      </c>
      <c r="AE117">
        <f t="shared" si="14"/>
        <v>342.76498811949591</v>
      </c>
      <c r="AF117">
        <f t="shared" si="20"/>
        <v>219918.50294688082</v>
      </c>
      <c r="AG117">
        <f t="shared" si="21"/>
        <v>25652.319744666856</v>
      </c>
      <c r="AO117">
        <f t="shared" si="22"/>
        <v>109</v>
      </c>
      <c r="AP117">
        <f t="shared" si="23"/>
        <v>170485.5066870678</v>
      </c>
      <c r="AQ117">
        <f t="shared" si="24"/>
        <v>1289.6162532097756</v>
      </c>
      <c r="AR117">
        <f t="shared" si="25"/>
        <v>2752.9433274453913</v>
      </c>
      <c r="AS117">
        <f t="shared" si="15"/>
        <v>1463.3270742356158</v>
      </c>
      <c r="AT117">
        <f t="shared" si="26"/>
        <v>190556.32937861548</v>
      </c>
      <c r="AU117">
        <f t="shared" si="27"/>
        <v>109514.49331293214</v>
      </c>
    </row>
    <row r="118" spans="27:47" ht="14.4">
      <c r="AA118">
        <f t="shared" si="16"/>
        <v>110</v>
      </c>
      <c r="AB118">
        <f t="shared" si="17"/>
        <v>254002.34452980282</v>
      </c>
      <c r="AC118">
        <f t="shared" si="18"/>
        <v>1907.6076019149991</v>
      </c>
      <c r="AD118">
        <f t="shared" si="19"/>
        <v>2252.9433274453913</v>
      </c>
      <c r="AE118">
        <f t="shared" si="14"/>
        <v>345.33572553039221</v>
      </c>
      <c r="AF118">
        <f t="shared" si="20"/>
        <v>221826.11054879581</v>
      </c>
      <c r="AG118">
        <f t="shared" si="21"/>
        <v>25997.655470197249</v>
      </c>
      <c r="AO118">
        <f t="shared" si="22"/>
        <v>110</v>
      </c>
      <c r="AP118">
        <f t="shared" si="23"/>
        <v>169011.20465977542</v>
      </c>
      <c r="AQ118">
        <f t="shared" si="24"/>
        <v>1278.6413001530084</v>
      </c>
      <c r="AR118">
        <f t="shared" si="25"/>
        <v>2752.9433274453913</v>
      </c>
      <c r="AS118">
        <f t="shared" si="15"/>
        <v>1474.3020272923829</v>
      </c>
      <c r="AT118">
        <f t="shared" si="26"/>
        <v>191834.9706787685</v>
      </c>
      <c r="AU118">
        <f t="shared" si="27"/>
        <v>110988.79534022453</v>
      </c>
    </row>
    <row r="119" spans="27:47" ht="14.4">
      <c r="AA119">
        <f t="shared" si="16"/>
        <v>111</v>
      </c>
      <c r="AB119">
        <f t="shared" si="17"/>
        <v>253654.41878633096</v>
      </c>
      <c r="AC119">
        <f t="shared" si="18"/>
        <v>1905.0175839735211</v>
      </c>
      <c r="AD119">
        <f t="shared" si="19"/>
        <v>2252.9433274453913</v>
      </c>
      <c r="AE119">
        <f t="shared" si="14"/>
        <v>347.92574347187019</v>
      </c>
      <c r="AF119">
        <f t="shared" si="20"/>
        <v>223731.12813276934</v>
      </c>
      <c r="AG119">
        <f t="shared" si="21"/>
        <v>26345.58121366912</v>
      </c>
      <c r="AO119">
        <f t="shared" si="22"/>
        <v>111</v>
      </c>
      <c r="AP119">
        <f t="shared" si="23"/>
        <v>167525.84536727835</v>
      </c>
      <c r="AQ119">
        <f t="shared" si="24"/>
        <v>1267.5840349483155</v>
      </c>
      <c r="AR119">
        <f t="shared" si="25"/>
        <v>2752.9433274453913</v>
      </c>
      <c r="AS119">
        <f t="shared" si="15"/>
        <v>1485.3592924970758</v>
      </c>
      <c r="AT119">
        <f t="shared" si="26"/>
        <v>193102.55471371682</v>
      </c>
      <c r="AU119">
        <f t="shared" si="27"/>
        <v>112474.15463272161</v>
      </c>
    </row>
    <row r="120" spans="27:47" ht="14.4">
      <c r="AA120">
        <f t="shared" si="16"/>
        <v>112</v>
      </c>
      <c r="AB120">
        <f t="shared" si="17"/>
        <v>253303.88359978306</v>
      </c>
      <c r="AC120">
        <f t="shared" si="18"/>
        <v>1902.4081408974821</v>
      </c>
      <c r="AD120">
        <f t="shared" si="19"/>
        <v>2252.9433274453913</v>
      </c>
      <c r="AE120">
        <f t="shared" si="14"/>
        <v>350.53518654790923</v>
      </c>
      <c r="AF120">
        <f t="shared" si="20"/>
        <v>225633.53627366683</v>
      </c>
      <c r="AG120">
        <f t="shared" si="21"/>
        <v>26696.11640021703</v>
      </c>
      <c r="AO120">
        <f t="shared" si="22"/>
        <v>112</v>
      </c>
      <c r="AP120">
        <f t="shared" si="23"/>
        <v>166029.34588008755</v>
      </c>
      <c r="AQ120">
        <f t="shared" si="24"/>
        <v>1256.4438402545875</v>
      </c>
      <c r="AR120">
        <f t="shared" si="25"/>
        <v>2752.9433274453913</v>
      </c>
      <c r="AS120">
        <f t="shared" si="15"/>
        <v>1496.4994871908038</v>
      </c>
      <c r="AT120">
        <f t="shared" si="26"/>
        <v>194358.99855397141</v>
      </c>
      <c r="AU120">
        <f t="shared" si="27"/>
        <v>113970.6541199124</v>
      </c>
    </row>
    <row r="121" spans="27:47" ht="14.4">
      <c r="AA121">
        <f t="shared" si="16"/>
        <v>113</v>
      </c>
      <c r="AB121">
        <f t="shared" si="17"/>
        <v>252950.71939933606</v>
      </c>
      <c r="AC121">
        <f t="shared" si="18"/>
        <v>1899.7791269983729</v>
      </c>
      <c r="AD121">
        <f t="shared" si="19"/>
        <v>2252.9433274453913</v>
      </c>
      <c r="AE121">
        <f t="shared" si="14"/>
        <v>353.1642004470184</v>
      </c>
      <c r="AF121">
        <f t="shared" si="20"/>
        <v>227533.31540066522</v>
      </c>
      <c r="AG121">
        <f t="shared" si="21"/>
        <v>27049.280600664049</v>
      </c>
      <c r="AO121">
        <f t="shared" si="22"/>
        <v>113</v>
      </c>
      <c r="AP121">
        <f t="shared" si="23"/>
        <v>164521.62264674282</v>
      </c>
      <c r="AQ121">
        <f t="shared" si="24"/>
        <v>1245.2200941006565</v>
      </c>
      <c r="AR121">
        <f t="shared" si="25"/>
        <v>2752.9433274453913</v>
      </c>
      <c r="AS121">
        <f t="shared" si="15"/>
        <v>1507.7232333447348</v>
      </c>
      <c r="AT121">
        <f t="shared" si="26"/>
        <v>195604.21864807207</v>
      </c>
      <c r="AU121">
        <f t="shared" si="27"/>
        <v>115478.37735325714</v>
      </c>
    </row>
    <row r="122" spans="27:47" ht="14.4">
      <c r="AA122">
        <f t="shared" si="16"/>
        <v>114</v>
      </c>
      <c r="AB122">
        <f t="shared" si="17"/>
        <v>252594.90646738568</v>
      </c>
      <c r="AC122">
        <f t="shared" si="18"/>
        <v>1897.1303954950204</v>
      </c>
      <c r="AD122">
        <f t="shared" si="19"/>
        <v>2252.9433274453913</v>
      </c>
      <c r="AE122">
        <f t="shared" si="14"/>
        <v>355.81293195037097</v>
      </c>
      <c r="AF122">
        <f t="shared" si="20"/>
        <v>229430.44579616023</v>
      </c>
      <c r="AG122">
        <f t="shared" si="21"/>
        <v>27405.093532614421</v>
      </c>
      <c r="AO122">
        <f t="shared" si="22"/>
        <v>114</v>
      </c>
      <c r="AP122">
        <f t="shared" si="23"/>
        <v>163002.59148914801</v>
      </c>
      <c r="AQ122">
        <f t="shared" si="24"/>
        <v>1233.9121698505712</v>
      </c>
      <c r="AR122">
        <f t="shared" si="25"/>
        <v>2752.9433274453913</v>
      </c>
      <c r="AS122">
        <f t="shared" si="15"/>
        <v>1519.0311575948201</v>
      </c>
      <c r="AT122">
        <f t="shared" si="26"/>
        <v>196838.13081792265</v>
      </c>
      <c r="AU122">
        <f t="shared" si="27"/>
        <v>116997.40851085195</v>
      </c>
    </row>
    <row r="123" spans="27:47" ht="14.4">
      <c r="AA123">
        <f t="shared" si="16"/>
        <v>115</v>
      </c>
      <c r="AB123">
        <f t="shared" si="17"/>
        <v>252236.42493844568</v>
      </c>
      <c r="AC123">
        <f t="shared" si="18"/>
        <v>1894.4617985053926</v>
      </c>
      <c r="AD123">
        <f t="shared" si="19"/>
        <v>2252.9433274453913</v>
      </c>
      <c r="AE123">
        <f t="shared" si="14"/>
        <v>358.48152893999873</v>
      </c>
      <c r="AF123">
        <f t="shared" si="20"/>
        <v>231324.90759466562</v>
      </c>
      <c r="AG123">
        <f t="shared" si="21"/>
        <v>27763.57506155442</v>
      </c>
      <c r="AO123">
        <f t="shared" si="22"/>
        <v>115</v>
      </c>
      <c r="AP123">
        <f t="shared" si="23"/>
        <v>161472.16759787122</v>
      </c>
      <c r="AQ123">
        <f t="shared" si="24"/>
        <v>1222.5194361686099</v>
      </c>
      <c r="AR123">
        <f t="shared" si="25"/>
        <v>2752.9433274453913</v>
      </c>
      <c r="AS123">
        <f t="shared" si="15"/>
        <v>1530.4238912767814</v>
      </c>
      <c r="AT123">
        <f t="shared" si="26"/>
        <v>198060.65025409125</v>
      </c>
      <c r="AU123">
        <f t="shared" si="27"/>
        <v>118527.83240212873</v>
      </c>
    </row>
    <row r="124" spans="27:47" ht="14.4">
      <c r="AA124">
        <f t="shared" si="16"/>
        <v>116</v>
      </c>
      <c r="AB124">
        <f t="shared" si="17"/>
        <v>251875.25479803863</v>
      </c>
      <c r="AC124">
        <f t="shared" si="18"/>
        <v>1891.7731870383425</v>
      </c>
      <c r="AD124">
        <f t="shared" si="19"/>
        <v>2252.9433274453913</v>
      </c>
      <c r="AE124">
        <f t="shared" si="14"/>
        <v>361.17014040704885</v>
      </c>
      <c r="AF124">
        <f t="shared" si="20"/>
        <v>233216.68078170397</v>
      </c>
      <c r="AG124">
        <f t="shared" si="21"/>
        <v>28124.745201961468</v>
      </c>
      <c r="AO124">
        <f t="shared" si="22"/>
        <v>116</v>
      </c>
      <c r="AP124">
        <f t="shared" si="23"/>
        <v>159930.26552740985</v>
      </c>
      <c r="AQ124">
        <f t="shared" si="24"/>
        <v>1211.0412569840341</v>
      </c>
      <c r="AR124">
        <f t="shared" si="25"/>
        <v>2752.9433274453913</v>
      </c>
      <c r="AS124">
        <f t="shared" si="15"/>
        <v>1541.9020704613572</v>
      </c>
      <c r="AT124">
        <f t="shared" si="26"/>
        <v>199271.69151107527</v>
      </c>
      <c r="AU124">
        <f t="shared" si="27"/>
        <v>120069.73447259008</v>
      </c>
    </row>
    <row r="125" spans="27:47" ht="14.4">
      <c r="AA125">
        <f t="shared" si="16"/>
        <v>117</v>
      </c>
      <c r="AB125">
        <f t="shared" si="17"/>
        <v>251511.37588157854</v>
      </c>
      <c r="AC125">
        <f t="shared" si="18"/>
        <v>1889.0644109852897</v>
      </c>
      <c r="AD125">
        <f t="shared" si="19"/>
        <v>2252.9433274453913</v>
      </c>
      <c r="AE125">
        <f t="shared" si="14"/>
        <v>363.87891646010166</v>
      </c>
      <c r="AF125">
        <f t="shared" si="20"/>
        <v>235105.74519268927</v>
      </c>
      <c r="AG125">
        <f t="shared" si="21"/>
        <v>28488.624118421569</v>
      </c>
      <c r="AO125">
        <f t="shared" si="22"/>
        <v>117</v>
      </c>
      <c r="AP125">
        <f t="shared" si="23"/>
        <v>158376.79919142002</v>
      </c>
      <c r="AQ125">
        <f t="shared" si="24"/>
        <v>1199.4769914555739</v>
      </c>
      <c r="AR125">
        <f t="shared" si="25"/>
        <v>2752.9433274453913</v>
      </c>
      <c r="AS125">
        <f t="shared" si="15"/>
        <v>1553.4663359898175</v>
      </c>
      <c r="AT125">
        <f t="shared" si="26"/>
        <v>200471.16850253084</v>
      </c>
      <c r="AU125">
        <f t="shared" si="27"/>
        <v>121623.20080857989</v>
      </c>
    </row>
    <row r="126" spans="27:47" ht="14.4">
      <c r="AA126">
        <f t="shared" si="16"/>
        <v>118</v>
      </c>
      <c r="AB126">
        <f t="shared" si="17"/>
        <v>251144.767873245</v>
      </c>
      <c r="AC126">
        <f t="shared" si="18"/>
        <v>1886.335319111839</v>
      </c>
      <c r="AD126">
        <f t="shared" si="19"/>
        <v>2252.9433274453913</v>
      </c>
      <c r="AE126">
        <f t="shared" si="14"/>
        <v>366.60800833355233</v>
      </c>
      <c r="AF126">
        <f t="shared" si="20"/>
        <v>236992.08051180112</v>
      </c>
      <c r="AG126">
        <f t="shared" si="21"/>
        <v>28855.23212675512</v>
      </c>
      <c r="AO126">
        <f t="shared" si="22"/>
        <v>118</v>
      </c>
      <c r="AP126">
        <f t="shared" si="23"/>
        <v>156811.68185791027</v>
      </c>
      <c r="AQ126">
        <f t="shared" si="24"/>
        <v>1187.8259939356501</v>
      </c>
      <c r="AR126">
        <f t="shared" si="25"/>
        <v>2752.9433274453913</v>
      </c>
      <c r="AS126">
        <f t="shared" si="15"/>
        <v>1565.1173335097412</v>
      </c>
      <c r="AT126">
        <f t="shared" si="26"/>
        <v>201658.99449646648</v>
      </c>
      <c r="AU126">
        <f t="shared" si="27"/>
        <v>123188.31814208963</v>
      </c>
    </row>
    <row r="127" spans="27:47" ht="14.4">
      <c r="AA127">
        <f t="shared" si="16"/>
        <v>119</v>
      </c>
      <c r="AB127">
        <f t="shared" si="17"/>
        <v>250775.41030484895</v>
      </c>
      <c r="AC127">
        <f t="shared" si="18"/>
        <v>1883.5857590493374</v>
      </c>
      <c r="AD127">
        <f t="shared" si="19"/>
        <v>2252.9433274453913</v>
      </c>
      <c r="AE127">
        <f t="shared" si="14"/>
        <v>369.35756839605392</v>
      </c>
      <c r="AF127">
        <f t="shared" si="20"/>
        <v>238875.66627085046</v>
      </c>
      <c r="AG127">
        <f t="shared" si="21"/>
        <v>29224.589695151175</v>
      </c>
      <c r="AO127">
        <f t="shared" si="22"/>
        <v>119</v>
      </c>
      <c r="AP127">
        <f t="shared" si="23"/>
        <v>155234.82614439921</v>
      </c>
      <c r="AQ127">
        <f t="shared" si="24"/>
        <v>1176.087613934327</v>
      </c>
      <c r="AR127">
        <f t="shared" si="25"/>
        <v>2752.9433274453913</v>
      </c>
      <c r="AS127">
        <f t="shared" si="15"/>
        <v>1576.8557135110643</v>
      </c>
      <c r="AT127">
        <f t="shared" si="26"/>
        <v>202835.08211040081</v>
      </c>
      <c r="AU127">
        <f t="shared" si="27"/>
        <v>124765.17385560069</v>
      </c>
    </row>
    <row r="128" spans="27:47" ht="14.4">
      <c r="AA128">
        <f t="shared" si="16"/>
        <v>120</v>
      </c>
      <c r="AB128">
        <f t="shared" si="17"/>
        <v>250403.28255468991</v>
      </c>
      <c r="AC128">
        <f t="shared" si="18"/>
        <v>1880.815577286367</v>
      </c>
      <c r="AD128">
        <f t="shared" si="19"/>
        <v>2252.9433274453913</v>
      </c>
      <c r="AE128">
        <f t="shared" si="14"/>
        <v>372.12775015902434</v>
      </c>
      <c r="AF128">
        <f t="shared" si="20"/>
        <v>240756.48184813681</v>
      </c>
      <c r="AG128">
        <f t="shared" si="21"/>
        <v>29596.717445310198</v>
      </c>
      <c r="AO128">
        <f t="shared" si="22"/>
        <v>120</v>
      </c>
      <c r="AP128">
        <f t="shared" si="23"/>
        <v>153646.1440130368</v>
      </c>
      <c r="AQ128">
        <f t="shared" si="24"/>
        <v>1164.261196082994</v>
      </c>
      <c r="AR128">
        <f t="shared" si="25"/>
        <v>2752.9433274453913</v>
      </c>
      <c r="AS128">
        <f t="shared" si="15"/>
        <v>1588.6821313623973</v>
      </c>
      <c r="AT128">
        <f t="shared" si="26"/>
        <v>203999.34330648379</v>
      </c>
      <c r="AU128">
        <f t="shared" si="27"/>
        <v>126353.85598696308</v>
      </c>
    </row>
    <row r="129" spans="27:47" ht="14.4">
      <c r="AA129">
        <f t="shared" si="16"/>
        <v>121</v>
      </c>
      <c r="AB129">
        <f t="shared" si="17"/>
        <v>250028.36384640468</v>
      </c>
      <c r="AC129">
        <f t="shared" si="18"/>
        <v>1878.0246191601743</v>
      </c>
      <c r="AD129">
        <f t="shared" si="19"/>
        <v>2252.9433274453913</v>
      </c>
      <c r="AE129">
        <f t="shared" si="14"/>
        <v>374.91870828521701</v>
      </c>
      <c r="AF129">
        <f t="shared" si="20"/>
        <v>242634.50646729697</v>
      </c>
      <c r="AG129">
        <f t="shared" si="21"/>
        <v>29971.636153595417</v>
      </c>
      <c r="AO129">
        <f t="shared" si="22"/>
        <v>121</v>
      </c>
      <c r="AP129">
        <f t="shared" si="23"/>
        <v>152045.54676568919</v>
      </c>
      <c r="AQ129">
        <f t="shared" si="24"/>
        <v>1152.3460800977759</v>
      </c>
      <c r="AR129">
        <f t="shared" si="25"/>
        <v>2752.9433274453913</v>
      </c>
      <c r="AS129">
        <f t="shared" si="15"/>
        <v>1600.5972473476154</v>
      </c>
      <c r="AT129">
        <f t="shared" si="26"/>
        <v>205151.68938658157</v>
      </c>
      <c r="AU129">
        <f t="shared" si="27"/>
        <v>127954.4532343107</v>
      </c>
    </row>
    <row r="130" spans="27:47" ht="14.4">
      <c r="AA130">
        <f t="shared" si="16"/>
        <v>122</v>
      </c>
      <c r="AB130">
        <f t="shared" si="17"/>
        <v>249650.63324780733</v>
      </c>
      <c r="AC130">
        <f t="shared" si="18"/>
        <v>1875.2127288480351</v>
      </c>
      <c r="AD130">
        <f t="shared" si="19"/>
        <v>2252.9433274453913</v>
      </c>
      <c r="AE130">
        <f t="shared" si="14"/>
        <v>377.73059859735622</v>
      </c>
      <c r="AF130">
        <f t="shared" si="20"/>
        <v>244509.71919614502</v>
      </c>
      <c r="AG130">
        <f t="shared" si="21"/>
        <v>30349.366752192771</v>
      </c>
      <c r="AO130">
        <f t="shared" si="22"/>
        <v>122</v>
      </c>
      <c r="AP130">
        <f t="shared" si="23"/>
        <v>150432.94503898645</v>
      </c>
      <c r="AQ130">
        <f t="shared" si="24"/>
        <v>1140.3416007426688</v>
      </c>
      <c r="AR130">
        <f t="shared" si="25"/>
        <v>2752.9433274453913</v>
      </c>
      <c r="AS130">
        <f t="shared" si="15"/>
        <v>1612.6017267027225</v>
      </c>
      <c r="AT130">
        <f t="shared" si="26"/>
        <v>206292.03098732422</v>
      </c>
      <c r="AU130">
        <f t="shared" si="27"/>
        <v>129567.05496101342</v>
      </c>
    </row>
    <row r="131" spans="27:47" ht="14.4">
      <c r="AA131">
        <f t="shared" si="16"/>
        <v>123</v>
      </c>
      <c r="AB131">
        <f t="shared" si="17"/>
        <v>249270.06966972048</v>
      </c>
      <c r="AC131">
        <f t="shared" si="18"/>
        <v>1872.3797493585548</v>
      </c>
      <c r="AD131">
        <f t="shared" si="19"/>
        <v>2252.9433274453913</v>
      </c>
      <c r="AE131">
        <f t="shared" si="14"/>
        <v>380.56357808683651</v>
      </c>
      <c r="AF131">
        <f t="shared" si="20"/>
        <v>246382.09894550356</v>
      </c>
      <c r="AG131">
        <f t="shared" si="21"/>
        <v>30729.930330279607</v>
      </c>
      <c r="AO131">
        <f t="shared" si="22"/>
        <v>123</v>
      </c>
      <c r="AP131">
        <f t="shared" si="23"/>
        <v>148808.24879933347</v>
      </c>
      <c r="AQ131">
        <f t="shared" si="24"/>
        <v>1128.2470877923984</v>
      </c>
      <c r="AR131">
        <f t="shared" si="25"/>
        <v>2752.9433274453913</v>
      </c>
      <c r="AS131">
        <f t="shared" si="15"/>
        <v>1624.696239652993</v>
      </c>
      <c r="AT131">
        <f t="shared" si="26"/>
        <v>207420.27807511663</v>
      </c>
      <c r="AU131">
        <f t="shared" si="27"/>
        <v>131191.75120066642</v>
      </c>
    </row>
    <row r="132" spans="27:47" ht="14.4">
      <c r="AA132">
        <f t="shared" si="16"/>
        <v>124</v>
      </c>
      <c r="AB132">
        <f t="shared" si="17"/>
        <v>248886.65186479798</v>
      </c>
      <c r="AC132">
        <f t="shared" si="18"/>
        <v>1869.5255225229037</v>
      </c>
      <c r="AD132">
        <f t="shared" si="19"/>
        <v>2252.9433274453913</v>
      </c>
      <c r="AE132">
        <f t="shared" si="14"/>
        <v>383.41780492248768</v>
      </c>
      <c r="AF132">
        <f t="shared" si="20"/>
        <v>248251.62446802645</v>
      </c>
      <c r="AG132">
        <f t="shared" si="21"/>
        <v>31113.348135202094</v>
      </c>
      <c r="AO132">
        <f t="shared" si="22"/>
        <v>124</v>
      </c>
      <c r="AP132">
        <f t="shared" si="23"/>
        <v>147171.36733788307</v>
      </c>
      <c r="AQ132">
        <f t="shared" si="24"/>
        <v>1116.061865995001</v>
      </c>
      <c r="AR132">
        <f t="shared" si="25"/>
        <v>2752.9433274453913</v>
      </c>
      <c r="AS132">
        <f t="shared" si="15"/>
        <v>1636.8814614503904</v>
      </c>
      <c r="AT132">
        <f t="shared" si="26"/>
        <v>208536.33994111163</v>
      </c>
      <c r="AU132">
        <f t="shared" si="27"/>
        <v>132828.63266211681</v>
      </c>
    </row>
    <row r="133" spans="27:47" ht="14.4">
      <c r="AA133">
        <f t="shared" si="16"/>
        <v>125</v>
      </c>
      <c r="AB133">
        <f t="shared" si="17"/>
        <v>248500.35842633859</v>
      </c>
      <c r="AC133">
        <f t="shared" si="18"/>
        <v>1866.6498889859847</v>
      </c>
      <c r="AD133">
        <f t="shared" si="19"/>
        <v>2252.9433274453913</v>
      </c>
      <c r="AE133">
        <f t="shared" si="14"/>
        <v>386.29343845940662</v>
      </c>
      <c r="AF133">
        <f t="shared" si="20"/>
        <v>250118.27435701244</v>
      </c>
      <c r="AG133">
        <f t="shared" si="21"/>
        <v>31499.641573661502</v>
      </c>
      <c r="AO133">
        <f t="shared" si="22"/>
        <v>125</v>
      </c>
      <c r="AP133">
        <f t="shared" si="23"/>
        <v>145522.20926547181</v>
      </c>
      <c r="AQ133">
        <f t="shared" si="24"/>
        <v>1103.7852550341231</v>
      </c>
      <c r="AR133">
        <f t="shared" si="25"/>
        <v>2752.9433274453913</v>
      </c>
      <c r="AS133">
        <f t="shared" si="15"/>
        <v>1649.1580724112682</v>
      </c>
      <c r="AT133">
        <f t="shared" si="26"/>
        <v>209640.12519614576</v>
      </c>
      <c r="AU133">
        <f t="shared" si="27"/>
        <v>134477.79073452807</v>
      </c>
    </row>
    <row r="134" spans="27:47" ht="14.4">
      <c r="AA134">
        <f t="shared" si="16"/>
        <v>126</v>
      </c>
      <c r="AB134">
        <f t="shared" si="17"/>
        <v>248111.16778709073</v>
      </c>
      <c r="AC134">
        <f t="shared" si="18"/>
        <v>1863.7526881975393</v>
      </c>
      <c r="AD134">
        <f t="shared" si="19"/>
        <v>2252.9433274453913</v>
      </c>
      <c r="AE134">
        <f t="shared" si="14"/>
        <v>389.190639247852</v>
      </c>
      <c r="AF134">
        <f t="shared" si="20"/>
        <v>251982.02704520998</v>
      </c>
      <c r="AG134">
        <f t="shared" si="21"/>
        <v>31888.832212909354</v>
      </c>
      <c r="AO134">
        <f t="shared" si="22"/>
        <v>126</v>
      </c>
      <c r="AP134">
        <f t="shared" si="23"/>
        <v>143860.68250751746</v>
      </c>
      <c r="AQ134">
        <f t="shared" si="24"/>
        <v>1091.4165694910387</v>
      </c>
      <c r="AR134">
        <f t="shared" si="25"/>
        <v>2752.9433274453913</v>
      </c>
      <c r="AS134">
        <f t="shared" si="15"/>
        <v>1661.5267579543527</v>
      </c>
      <c r="AT134">
        <f t="shared" si="26"/>
        <v>210731.54176563679</v>
      </c>
      <c r="AU134">
        <f t="shared" si="27"/>
        <v>136139.31749248243</v>
      </c>
    </row>
    <row r="135" spans="27:47" ht="14.4">
      <c r="AA135">
        <f t="shared" si="16"/>
        <v>127</v>
      </c>
      <c r="AB135">
        <f t="shared" si="17"/>
        <v>247719.05821804851</v>
      </c>
      <c r="AC135">
        <f t="shared" si="18"/>
        <v>1860.8337584031804</v>
      </c>
      <c r="AD135">
        <f t="shared" si="19"/>
        <v>2252.9433274453913</v>
      </c>
      <c r="AE135">
        <f t="shared" si="14"/>
        <v>392.10956904221098</v>
      </c>
      <c r="AF135">
        <f t="shared" si="20"/>
        <v>253842.86080361315</v>
      </c>
      <c r="AG135">
        <f t="shared" si="21"/>
        <v>32280.941781951566</v>
      </c>
      <c r="AO135">
        <f t="shared" si="22"/>
        <v>127</v>
      </c>
      <c r="AP135">
        <f t="shared" si="23"/>
        <v>142186.69429887846</v>
      </c>
      <c r="AQ135">
        <f t="shared" si="24"/>
        <v>1078.9551188063808</v>
      </c>
      <c r="AR135">
        <f t="shared" si="25"/>
        <v>2752.9433274453913</v>
      </c>
      <c r="AS135">
        <f t="shared" si="15"/>
        <v>1673.9882086390105</v>
      </c>
      <c r="AT135">
        <f t="shared" si="26"/>
        <v>211810.49688444319</v>
      </c>
      <c r="AU135">
        <f t="shared" si="27"/>
        <v>137813.30570112143</v>
      </c>
    </row>
    <row r="136" spans="27:47" ht="14.4">
      <c r="AA136">
        <f t="shared" si="16"/>
        <v>128</v>
      </c>
      <c r="AB136">
        <f t="shared" si="17"/>
        <v>247324.00782723847</v>
      </c>
      <c r="AC136">
        <f t="shared" si="18"/>
        <v>1857.8929366353636</v>
      </c>
      <c r="AD136">
        <f t="shared" si="19"/>
        <v>2252.9433274453913</v>
      </c>
      <c r="AE136">
        <f t="shared" si="14"/>
        <v>395.05039081002769</v>
      </c>
      <c r="AF136">
        <f t="shared" si="20"/>
        <v>255700.7537402485</v>
      </c>
      <c r="AG136">
        <f t="shared" si="21"/>
        <v>32675.992172761595</v>
      </c>
      <c r="AO136">
        <f t="shared" si="22"/>
        <v>128</v>
      </c>
      <c r="AP136">
        <f t="shared" si="23"/>
        <v>140500.15117867466</v>
      </c>
      <c r="AQ136">
        <f t="shared" si="24"/>
        <v>1066.4002072415883</v>
      </c>
      <c r="AR136">
        <f t="shared" si="25"/>
        <v>2752.9433274453913</v>
      </c>
      <c r="AS136">
        <f t="shared" si="15"/>
        <v>1686.543120203803</v>
      </c>
      <c r="AT136">
        <f t="shared" si="26"/>
        <v>212876.89709168478</v>
      </c>
      <c r="AU136">
        <f t="shared" si="27"/>
        <v>139499.84882132523</v>
      </c>
    </row>
    <row r="137" spans="27:47" ht="14.4">
      <c r="AA137">
        <f t="shared" si="16"/>
        <v>129</v>
      </c>
      <c r="AB137">
        <f t="shared" si="17"/>
        <v>246925.99455849736</v>
      </c>
      <c r="AC137">
        <f t="shared" si="18"/>
        <v>1854.9300587042885</v>
      </c>
      <c r="AD137">
        <f t="shared" si="19"/>
        <v>2252.9433274453913</v>
      </c>
      <c r="AE137">
        <f t="shared" ref="AE137:AE200" si="28">MAX(0,AD137-AC137)</f>
        <v>398.01326874110282</v>
      </c>
      <c r="AF137">
        <f t="shared" si="20"/>
        <v>257555.68379895278</v>
      </c>
      <c r="AG137">
        <f t="shared" si="21"/>
        <v>33074.005441502697</v>
      </c>
      <c r="AO137">
        <f t="shared" si="22"/>
        <v>129</v>
      </c>
      <c r="AP137">
        <f t="shared" si="23"/>
        <v>138800.95898506933</v>
      </c>
      <c r="AQ137">
        <f t="shared" si="24"/>
        <v>1053.75113384006</v>
      </c>
      <c r="AR137">
        <f t="shared" si="25"/>
        <v>2752.9433274453913</v>
      </c>
      <c r="AS137">
        <f t="shared" ref="AS137:AS200" si="29">MAX(0,AR137-AQ137)</f>
        <v>1699.1921936053313</v>
      </c>
      <c r="AT137">
        <f t="shared" si="26"/>
        <v>213930.64822552484</v>
      </c>
      <c r="AU137">
        <f t="shared" si="27"/>
        <v>141199.04101493055</v>
      </c>
    </row>
    <row r="138" spans="27:47" ht="14.4">
      <c r="AA138">
        <f t="shared" ref="AA138:AA201" si="30">AA137+1</f>
        <v>130</v>
      </c>
      <c r="AB138">
        <f t="shared" ref="AB138:AB201" si="31">MAX(0,AB137-AE138)</f>
        <v>246524.99619024069</v>
      </c>
      <c r="AC138">
        <f t="shared" ref="AC138:AC201" si="32">IF(AB137&lt;=0,0,AB137*$AA$6)</f>
        <v>1851.9449591887301</v>
      </c>
      <c r="AD138">
        <f t="shared" ref="AD138:AD201" si="33">IF(AB137&lt;=0,0,MIN($AC$6,AB137+AC138))</f>
        <v>2252.9433274453913</v>
      </c>
      <c r="AE138">
        <f t="shared" si="28"/>
        <v>400.99836825666125</v>
      </c>
      <c r="AF138">
        <f t="shared" ref="AF138:AF201" si="34">AF137+AC138</f>
        <v>259407.62875814151</v>
      </c>
      <c r="AG138">
        <f t="shared" ref="AG138:AG201" si="35">AG137+AE138</f>
        <v>33475.003809759357</v>
      </c>
      <c r="AO138">
        <f t="shared" ref="AO138:AO201" si="36">AO137+1</f>
        <v>130</v>
      </c>
      <c r="AP138">
        <f t="shared" ref="AP138:AP201" si="37">MAX(0,AP137-AS138)</f>
        <v>137089.02285001197</v>
      </c>
      <c r="AQ138">
        <f t="shared" ref="AQ138:AQ201" si="38">IF(AP137&lt;=0,0,AP137*$AA$6)</f>
        <v>1041.00719238802</v>
      </c>
      <c r="AR138">
        <f t="shared" ref="AR138:AR201" si="39">IF(AP137&lt;=0,0,MIN($AD$6,AP137+AQ138))</f>
        <v>2752.9433274453913</v>
      </c>
      <c r="AS138">
        <f t="shared" si="29"/>
        <v>1711.9361350573713</v>
      </c>
      <c r="AT138">
        <f t="shared" ref="AT138:AT201" si="40">AT137+AQ138</f>
        <v>214971.65541791287</v>
      </c>
      <c r="AU138">
        <f t="shared" ref="AU138:AU201" si="41">AU137+AS138</f>
        <v>142910.97714998791</v>
      </c>
    </row>
    <row r="139" spans="27:47" ht="14.4">
      <c r="AA139">
        <f t="shared" si="30"/>
        <v>131</v>
      </c>
      <c r="AB139">
        <f t="shared" si="31"/>
        <v>246120.99033422209</v>
      </c>
      <c r="AC139">
        <f t="shared" si="32"/>
        <v>1848.9374714268051</v>
      </c>
      <c r="AD139">
        <f t="shared" si="33"/>
        <v>2252.9433274453913</v>
      </c>
      <c r="AE139">
        <f t="shared" si="28"/>
        <v>404.0058560185862</v>
      </c>
      <c r="AF139">
        <f t="shared" si="34"/>
        <v>261256.56622956833</v>
      </c>
      <c r="AG139">
        <f t="shared" si="35"/>
        <v>33879.009665777943</v>
      </c>
      <c r="AO139">
        <f t="shared" si="36"/>
        <v>131</v>
      </c>
      <c r="AP139">
        <f t="shared" si="37"/>
        <v>135364.24719394167</v>
      </c>
      <c r="AQ139">
        <f t="shared" si="38"/>
        <v>1028.1676713750896</v>
      </c>
      <c r="AR139">
        <f t="shared" si="39"/>
        <v>2752.9433274453913</v>
      </c>
      <c r="AS139">
        <f t="shared" si="29"/>
        <v>1724.7756560703017</v>
      </c>
      <c r="AT139">
        <f t="shared" si="40"/>
        <v>215999.82308928797</v>
      </c>
      <c r="AU139">
        <f t="shared" si="41"/>
        <v>144635.75280605821</v>
      </c>
    </row>
    <row r="140" spans="27:47" ht="14.4">
      <c r="AA140">
        <f t="shared" si="30"/>
        <v>132</v>
      </c>
      <c r="AB140">
        <f t="shared" si="31"/>
        <v>245713.95443428337</v>
      </c>
      <c r="AC140">
        <f t="shared" si="32"/>
        <v>1845.9074275066657</v>
      </c>
      <c r="AD140">
        <f t="shared" si="33"/>
        <v>2252.9433274453913</v>
      </c>
      <c r="AE140">
        <f t="shared" si="28"/>
        <v>407.03589993872561</v>
      </c>
      <c r="AF140">
        <f t="shared" si="34"/>
        <v>263102.47365707497</v>
      </c>
      <c r="AG140">
        <f t="shared" si="35"/>
        <v>34286.045565716668</v>
      </c>
      <c r="AO140">
        <f t="shared" si="36"/>
        <v>132</v>
      </c>
      <c r="AP140">
        <f t="shared" si="37"/>
        <v>133626.53572045083</v>
      </c>
      <c r="AQ140">
        <f t="shared" si="38"/>
        <v>1015.2318539545626</v>
      </c>
      <c r="AR140">
        <f t="shared" si="39"/>
        <v>2752.9433274453913</v>
      </c>
      <c r="AS140">
        <f t="shared" si="29"/>
        <v>1737.7114734908287</v>
      </c>
      <c r="AT140">
        <f t="shared" si="40"/>
        <v>217015.05494324252</v>
      </c>
      <c r="AU140">
        <f t="shared" si="41"/>
        <v>146373.46427954905</v>
      </c>
    </row>
    <row r="141" spans="27:47" ht="14.4">
      <c r="AA141">
        <f t="shared" si="30"/>
        <v>133</v>
      </c>
      <c r="AB141">
        <f t="shared" si="31"/>
        <v>245303.86576509511</v>
      </c>
      <c r="AC141">
        <f t="shared" si="32"/>
        <v>1842.8546582571253</v>
      </c>
      <c r="AD141">
        <f t="shared" si="33"/>
        <v>2252.9433274453913</v>
      </c>
      <c r="AE141">
        <f t="shared" si="28"/>
        <v>410.08866918826607</v>
      </c>
      <c r="AF141">
        <f t="shared" si="34"/>
        <v>264945.32831533207</v>
      </c>
      <c r="AG141">
        <f t="shared" si="35"/>
        <v>34696.134234904937</v>
      </c>
      <c r="AO141">
        <f t="shared" si="36"/>
        <v>133</v>
      </c>
      <c r="AP141">
        <f t="shared" si="37"/>
        <v>131875.79141090883</v>
      </c>
      <c r="AQ141">
        <f t="shared" si="38"/>
        <v>1002.1990179033812</v>
      </c>
      <c r="AR141">
        <f t="shared" si="39"/>
        <v>2752.9433274453913</v>
      </c>
      <c r="AS141">
        <f t="shared" si="29"/>
        <v>1750.7443095420101</v>
      </c>
      <c r="AT141">
        <f t="shared" si="40"/>
        <v>218017.25396114591</v>
      </c>
      <c r="AU141">
        <f t="shared" si="41"/>
        <v>148124.20858909105</v>
      </c>
    </row>
    <row r="142" spans="27:47" ht="14.4">
      <c r="AA142">
        <f t="shared" si="30"/>
        <v>134</v>
      </c>
      <c r="AB142">
        <f t="shared" si="31"/>
        <v>244890.70143088792</v>
      </c>
      <c r="AC142">
        <f t="shared" si="32"/>
        <v>1839.7789932382132</v>
      </c>
      <c r="AD142">
        <f t="shared" si="33"/>
        <v>2252.9433274453913</v>
      </c>
      <c r="AE142">
        <f t="shared" si="28"/>
        <v>413.16433420717817</v>
      </c>
      <c r="AF142">
        <f t="shared" si="34"/>
        <v>266785.1073085703</v>
      </c>
      <c r="AG142">
        <f t="shared" si="35"/>
        <v>35109.298569112114</v>
      </c>
      <c r="AO142">
        <f t="shared" si="36"/>
        <v>134</v>
      </c>
      <c r="AP142">
        <f t="shared" si="37"/>
        <v>130111.91651904526</v>
      </c>
      <c r="AQ142">
        <f t="shared" si="38"/>
        <v>989.06843558181617</v>
      </c>
      <c r="AR142">
        <f t="shared" si="39"/>
        <v>2752.9433274453913</v>
      </c>
      <c r="AS142">
        <f t="shared" si="29"/>
        <v>1763.8748918635752</v>
      </c>
      <c r="AT142">
        <f t="shared" si="40"/>
        <v>219006.32239672772</v>
      </c>
      <c r="AU142">
        <f t="shared" si="41"/>
        <v>149888.08348095464</v>
      </c>
    </row>
    <row r="143" spans="27:47" ht="14.4">
      <c r="AA143">
        <f t="shared" si="30"/>
        <v>135</v>
      </c>
      <c r="AB143">
        <f t="shared" si="31"/>
        <v>244474.43836417419</v>
      </c>
      <c r="AC143">
        <f t="shared" si="32"/>
        <v>1836.6802607316592</v>
      </c>
      <c r="AD143">
        <f t="shared" si="33"/>
        <v>2252.9433274453913</v>
      </c>
      <c r="AE143">
        <f t="shared" si="28"/>
        <v>416.26306671373209</v>
      </c>
      <c r="AF143">
        <f t="shared" si="34"/>
        <v>268621.78756930196</v>
      </c>
      <c r="AG143">
        <f t="shared" si="35"/>
        <v>35525.561635825848</v>
      </c>
      <c r="AO143">
        <f t="shared" si="36"/>
        <v>135</v>
      </c>
      <c r="AP143">
        <f t="shared" si="37"/>
        <v>128334.81256549271</v>
      </c>
      <c r="AQ143">
        <f t="shared" si="38"/>
        <v>975.83937389283938</v>
      </c>
      <c r="AR143">
        <f t="shared" si="39"/>
        <v>2752.9433274453913</v>
      </c>
      <c r="AS143">
        <f t="shared" si="29"/>
        <v>1777.103953552552</v>
      </c>
      <c r="AT143">
        <f t="shared" si="40"/>
        <v>219982.16177062056</v>
      </c>
      <c r="AU143">
        <f t="shared" si="41"/>
        <v>151665.18743450718</v>
      </c>
    </row>
    <row r="144" spans="27:47" ht="14.4">
      <c r="AA144">
        <f t="shared" si="30"/>
        <v>136</v>
      </c>
      <c r="AB144">
        <f t="shared" si="31"/>
        <v>244055.05332446011</v>
      </c>
      <c r="AC144">
        <f t="shared" si="32"/>
        <v>1833.5582877313063</v>
      </c>
      <c r="AD144">
        <f t="shared" si="33"/>
        <v>2252.9433274453913</v>
      </c>
      <c r="AE144">
        <f t="shared" si="28"/>
        <v>419.385039714085</v>
      </c>
      <c r="AF144">
        <f t="shared" si="34"/>
        <v>270455.34585703327</v>
      </c>
      <c r="AG144">
        <f t="shared" si="35"/>
        <v>35944.946675539933</v>
      </c>
      <c r="AO144">
        <f t="shared" si="36"/>
        <v>136</v>
      </c>
      <c r="AP144">
        <f t="shared" si="37"/>
        <v>126544.38033228852</v>
      </c>
      <c r="AQ144">
        <f t="shared" si="38"/>
        <v>962.51109424119534</v>
      </c>
      <c r="AR144">
        <f t="shared" si="39"/>
        <v>2752.9433274453913</v>
      </c>
      <c r="AS144">
        <f t="shared" si="29"/>
        <v>1790.4322332041961</v>
      </c>
      <c r="AT144">
        <f t="shared" si="40"/>
        <v>220944.67286486176</v>
      </c>
      <c r="AU144">
        <f t="shared" si="41"/>
        <v>153455.61966771138</v>
      </c>
    </row>
    <row r="145" spans="27:47" ht="14.4">
      <c r="AA145">
        <f t="shared" si="30"/>
        <v>137</v>
      </c>
      <c r="AB145">
        <f t="shared" si="31"/>
        <v>243632.52289694818</v>
      </c>
      <c r="AC145">
        <f t="shared" si="32"/>
        <v>1830.4128999334507</v>
      </c>
      <c r="AD145">
        <f t="shared" si="33"/>
        <v>2252.9433274453913</v>
      </c>
      <c r="AE145">
        <f t="shared" si="28"/>
        <v>422.53042751194062</v>
      </c>
      <c r="AF145">
        <f t="shared" si="34"/>
        <v>272285.75875696674</v>
      </c>
      <c r="AG145">
        <f t="shared" si="35"/>
        <v>36367.477103051875</v>
      </c>
      <c r="AO145">
        <f t="shared" si="36"/>
        <v>137</v>
      </c>
      <c r="AP145">
        <f t="shared" si="37"/>
        <v>124740.5198573353</v>
      </c>
      <c r="AQ145">
        <f t="shared" si="38"/>
        <v>949.08285249216385</v>
      </c>
      <c r="AR145">
        <f t="shared" si="39"/>
        <v>2752.9433274453913</v>
      </c>
      <c r="AS145">
        <f t="shared" si="29"/>
        <v>1803.8604749532274</v>
      </c>
      <c r="AT145">
        <f t="shared" si="40"/>
        <v>221893.75571735392</v>
      </c>
      <c r="AU145">
        <f t="shared" si="41"/>
        <v>155259.4801426646</v>
      </c>
    </row>
    <row r="146" spans="27:47" ht="14.4">
      <c r="AA146">
        <f t="shared" si="30"/>
        <v>138</v>
      </c>
      <c r="AB146">
        <f t="shared" si="31"/>
        <v>243206.82349122991</v>
      </c>
      <c r="AC146">
        <f t="shared" si="32"/>
        <v>1827.2439217271112</v>
      </c>
      <c r="AD146">
        <f t="shared" si="33"/>
        <v>2252.9433274453913</v>
      </c>
      <c r="AE146">
        <f t="shared" si="28"/>
        <v>425.6994057182801</v>
      </c>
      <c r="AF146">
        <f t="shared" si="34"/>
        <v>274113.00267869385</v>
      </c>
      <c r="AG146">
        <f t="shared" si="35"/>
        <v>36793.176508770157</v>
      </c>
      <c r="AO146">
        <f t="shared" si="36"/>
        <v>138</v>
      </c>
      <c r="AP146">
        <f t="shared" si="37"/>
        <v>122923.13042881992</v>
      </c>
      <c r="AQ146">
        <f t="shared" si="38"/>
        <v>935.55389893001473</v>
      </c>
      <c r="AR146">
        <f t="shared" si="39"/>
        <v>2752.9433274453913</v>
      </c>
      <c r="AS146">
        <f t="shared" si="29"/>
        <v>1817.3894285153765</v>
      </c>
      <c r="AT146">
        <f t="shared" si="40"/>
        <v>222829.30961628395</v>
      </c>
      <c r="AU146">
        <f t="shared" si="41"/>
        <v>157076.86957117997</v>
      </c>
    </row>
    <row r="147" spans="27:47" ht="14.4">
      <c r="AA147">
        <f t="shared" si="30"/>
        <v>139</v>
      </c>
      <c r="AB147">
        <f t="shared" si="31"/>
        <v>242777.93133996875</v>
      </c>
      <c r="AC147">
        <f t="shared" si="32"/>
        <v>1824.0511761842242</v>
      </c>
      <c r="AD147">
        <f t="shared" si="33"/>
        <v>2252.9433274453913</v>
      </c>
      <c r="AE147">
        <f t="shared" si="28"/>
        <v>428.8921512611671</v>
      </c>
      <c r="AF147">
        <f t="shared" si="34"/>
        <v>275937.05385487806</v>
      </c>
      <c r="AG147">
        <f t="shared" si="35"/>
        <v>37222.068660031327</v>
      </c>
      <c r="AO147">
        <f t="shared" si="36"/>
        <v>139</v>
      </c>
      <c r="AP147">
        <f t="shared" si="37"/>
        <v>121092.11057959068</v>
      </c>
      <c r="AQ147">
        <f t="shared" si="38"/>
        <v>921.92347821614931</v>
      </c>
      <c r="AR147">
        <f t="shared" si="39"/>
        <v>2752.9433274453913</v>
      </c>
      <c r="AS147">
        <f t="shared" si="29"/>
        <v>1831.019849229242</v>
      </c>
      <c r="AT147">
        <f t="shared" si="40"/>
        <v>223751.23309450009</v>
      </c>
      <c r="AU147">
        <f t="shared" si="41"/>
        <v>158907.88942040922</v>
      </c>
    </row>
    <row r="148" spans="27:47" ht="14.4">
      <c r="AA148">
        <f t="shared" si="30"/>
        <v>140</v>
      </c>
      <c r="AB148">
        <f t="shared" si="31"/>
        <v>242345.82249757313</v>
      </c>
      <c r="AC148">
        <f t="shared" si="32"/>
        <v>1820.8344850497656</v>
      </c>
      <c r="AD148">
        <f t="shared" si="33"/>
        <v>2252.9433274453913</v>
      </c>
      <c r="AE148">
        <f t="shared" si="28"/>
        <v>432.10884239562574</v>
      </c>
      <c r="AF148">
        <f t="shared" si="34"/>
        <v>277757.88833992783</v>
      </c>
      <c r="AG148">
        <f t="shared" si="35"/>
        <v>37654.177502426952</v>
      </c>
      <c r="AO148">
        <f t="shared" si="36"/>
        <v>140</v>
      </c>
      <c r="AP148">
        <f t="shared" si="37"/>
        <v>119247.35808149222</v>
      </c>
      <c r="AQ148">
        <f t="shared" si="38"/>
        <v>908.19082934693006</v>
      </c>
      <c r="AR148">
        <f t="shared" si="39"/>
        <v>2752.9433274453913</v>
      </c>
      <c r="AS148">
        <f t="shared" si="29"/>
        <v>1844.7524980984613</v>
      </c>
      <c r="AT148">
        <f t="shared" si="40"/>
        <v>224659.423923847</v>
      </c>
      <c r="AU148">
        <f t="shared" si="41"/>
        <v>160752.6419185077</v>
      </c>
    </row>
    <row r="149" spans="27:47" ht="14.4">
      <c r="AA149">
        <f t="shared" si="30"/>
        <v>141</v>
      </c>
      <c r="AB149">
        <f t="shared" si="31"/>
        <v>241910.47283885954</v>
      </c>
      <c r="AC149">
        <f t="shared" si="32"/>
        <v>1817.5936687317983</v>
      </c>
      <c r="AD149">
        <f t="shared" si="33"/>
        <v>2252.9433274453913</v>
      </c>
      <c r="AE149">
        <f t="shared" si="28"/>
        <v>435.34965871359304</v>
      </c>
      <c r="AF149">
        <f t="shared" si="34"/>
        <v>279575.48200865963</v>
      </c>
      <c r="AG149">
        <f t="shared" si="35"/>
        <v>38089.527161140548</v>
      </c>
      <c r="AO149">
        <f t="shared" si="36"/>
        <v>141</v>
      </c>
      <c r="AP149">
        <f t="shared" si="37"/>
        <v>117388.76993965801</v>
      </c>
      <c r="AQ149">
        <f t="shared" si="38"/>
        <v>894.35518561119159</v>
      </c>
      <c r="AR149">
        <f t="shared" si="39"/>
        <v>2752.9433274453913</v>
      </c>
      <c r="AS149">
        <f t="shared" si="29"/>
        <v>1858.5881418341996</v>
      </c>
      <c r="AT149">
        <f t="shared" si="40"/>
        <v>225553.77910945821</v>
      </c>
      <c r="AU149">
        <f t="shared" si="41"/>
        <v>162611.23006034188</v>
      </c>
    </row>
    <row r="150" spans="27:47" ht="14.4">
      <c r="AA150">
        <f t="shared" si="30"/>
        <v>142</v>
      </c>
      <c r="AB150">
        <f t="shared" si="31"/>
        <v>241471.8580577056</v>
      </c>
      <c r="AC150">
        <f t="shared" si="32"/>
        <v>1814.3285462914464</v>
      </c>
      <c r="AD150">
        <f t="shared" si="33"/>
        <v>2252.9433274453913</v>
      </c>
      <c r="AE150">
        <f t="shared" si="28"/>
        <v>438.61478115394493</v>
      </c>
      <c r="AF150">
        <f t="shared" si="34"/>
        <v>281389.81055495108</v>
      </c>
      <c r="AG150">
        <f t="shared" si="35"/>
        <v>38528.141942294489</v>
      </c>
      <c r="AO150">
        <f t="shared" si="36"/>
        <v>142</v>
      </c>
      <c r="AP150">
        <f t="shared" si="37"/>
        <v>115516.24238676006</v>
      </c>
      <c r="AQ150">
        <f t="shared" si="38"/>
        <v>880.41577454743503</v>
      </c>
      <c r="AR150">
        <f t="shared" si="39"/>
        <v>2752.9433274453913</v>
      </c>
      <c r="AS150">
        <f t="shared" si="29"/>
        <v>1872.5275528979564</v>
      </c>
      <c r="AT150">
        <f t="shared" si="40"/>
        <v>226434.19488400564</v>
      </c>
      <c r="AU150">
        <f t="shared" si="41"/>
        <v>164483.75761323984</v>
      </c>
    </row>
    <row r="151" spans="27:47" ht="14.4">
      <c r="AA151">
        <f t="shared" si="30"/>
        <v>143</v>
      </c>
      <c r="AB151">
        <f t="shared" si="31"/>
        <v>241029.953665693</v>
      </c>
      <c r="AC151">
        <f t="shared" si="32"/>
        <v>1811.038935432792</v>
      </c>
      <c r="AD151">
        <f t="shared" si="33"/>
        <v>2252.9433274453913</v>
      </c>
      <c r="AE151">
        <f t="shared" si="28"/>
        <v>441.90439201259937</v>
      </c>
      <c r="AF151">
        <f t="shared" si="34"/>
        <v>283200.84949038387</v>
      </c>
      <c r="AG151">
        <f t="shared" si="35"/>
        <v>38970.046334307088</v>
      </c>
      <c r="AO151">
        <f t="shared" si="36"/>
        <v>143</v>
      </c>
      <c r="AP151">
        <f t="shared" si="37"/>
        <v>113629.67087721537</v>
      </c>
      <c r="AQ151">
        <f t="shared" si="38"/>
        <v>866.37181790070042</v>
      </c>
      <c r="AR151">
        <f t="shared" si="39"/>
        <v>2752.9433274453913</v>
      </c>
      <c r="AS151">
        <f t="shared" si="29"/>
        <v>1886.5715095446908</v>
      </c>
      <c r="AT151">
        <f t="shared" si="40"/>
        <v>227300.56670190635</v>
      </c>
      <c r="AU151">
        <f t="shared" si="41"/>
        <v>166370.32912278452</v>
      </c>
    </row>
    <row r="152" spans="27:47" ht="14.4">
      <c r="AA152">
        <f t="shared" si="30"/>
        <v>144</v>
      </c>
      <c r="AB152">
        <f t="shared" si="31"/>
        <v>240584.73499074031</v>
      </c>
      <c r="AC152">
        <f t="shared" si="32"/>
        <v>1807.7246524926975</v>
      </c>
      <c r="AD152">
        <f t="shared" si="33"/>
        <v>2252.9433274453913</v>
      </c>
      <c r="AE152">
        <f t="shared" si="28"/>
        <v>445.21867495269385</v>
      </c>
      <c r="AF152">
        <f t="shared" si="34"/>
        <v>285008.57414287655</v>
      </c>
      <c r="AG152">
        <f t="shared" si="35"/>
        <v>39415.265009259783</v>
      </c>
      <c r="AO152">
        <f t="shared" si="36"/>
        <v>144</v>
      </c>
      <c r="AP152">
        <f t="shared" si="37"/>
        <v>111728.95008134909</v>
      </c>
      <c r="AQ152">
        <f t="shared" si="38"/>
        <v>852.22253157911518</v>
      </c>
      <c r="AR152">
        <f t="shared" si="39"/>
        <v>2752.9433274453913</v>
      </c>
      <c r="AS152">
        <f t="shared" si="29"/>
        <v>1900.7207958662761</v>
      </c>
      <c r="AT152">
        <f t="shared" si="40"/>
        <v>228152.78923348547</v>
      </c>
      <c r="AU152">
        <f t="shared" si="41"/>
        <v>168271.0499186508</v>
      </c>
    </row>
    <row r="153" spans="27:47" ht="14.4">
      <c r="AA153">
        <f t="shared" si="30"/>
        <v>145</v>
      </c>
      <c r="AB153">
        <f t="shared" si="31"/>
        <v>240136.17717572546</v>
      </c>
      <c r="AC153">
        <f t="shared" si="32"/>
        <v>1804.3855124305524</v>
      </c>
      <c r="AD153">
        <f t="shared" si="33"/>
        <v>2252.9433274453913</v>
      </c>
      <c r="AE153">
        <f t="shared" si="28"/>
        <v>448.55781501483898</v>
      </c>
      <c r="AF153">
        <f t="shared" si="34"/>
        <v>286812.95965530712</v>
      </c>
      <c r="AG153">
        <f t="shared" si="35"/>
        <v>39863.822824274619</v>
      </c>
      <c r="AO153">
        <f t="shared" si="36"/>
        <v>145</v>
      </c>
      <c r="AP153">
        <f t="shared" si="37"/>
        <v>109813.97387951381</v>
      </c>
      <c r="AQ153">
        <f t="shared" si="38"/>
        <v>837.96712561011816</v>
      </c>
      <c r="AR153">
        <f t="shared" si="39"/>
        <v>2752.9433274453913</v>
      </c>
      <c r="AS153">
        <f t="shared" si="29"/>
        <v>1914.9762018352731</v>
      </c>
      <c r="AT153">
        <f t="shared" si="40"/>
        <v>228990.7563590956</v>
      </c>
      <c r="AU153">
        <f t="shared" si="41"/>
        <v>170186.02612048606</v>
      </c>
    </row>
    <row r="154" spans="27:47" ht="14.4">
      <c r="AA154">
        <f t="shared" si="30"/>
        <v>146</v>
      </c>
      <c r="AB154">
        <f t="shared" si="31"/>
        <v>239684.25517709801</v>
      </c>
      <c r="AC154">
        <f t="shared" si="32"/>
        <v>1801.0213288179409</v>
      </c>
      <c r="AD154">
        <f t="shared" si="33"/>
        <v>2252.9433274453913</v>
      </c>
      <c r="AE154">
        <f t="shared" si="28"/>
        <v>451.92199862745042</v>
      </c>
      <c r="AF154">
        <f t="shared" si="34"/>
        <v>288613.98098412505</v>
      </c>
      <c r="AG154">
        <f t="shared" si="35"/>
        <v>40315.744822902067</v>
      </c>
      <c r="AO154">
        <f t="shared" si="36"/>
        <v>146</v>
      </c>
      <c r="AP154">
        <f t="shared" si="37"/>
        <v>107884.63535616477</v>
      </c>
      <c r="AQ154">
        <f t="shared" si="38"/>
        <v>823.60480409635352</v>
      </c>
      <c r="AR154">
        <f t="shared" si="39"/>
        <v>2752.9433274453913</v>
      </c>
      <c r="AS154">
        <f t="shared" si="29"/>
        <v>1929.3385233490378</v>
      </c>
      <c r="AT154">
        <f t="shared" si="40"/>
        <v>229814.36116319196</v>
      </c>
      <c r="AU154">
        <f t="shared" si="41"/>
        <v>172115.36464383508</v>
      </c>
    </row>
    <row r="155" spans="27:47" ht="14.4">
      <c r="AA155">
        <f t="shared" si="30"/>
        <v>147</v>
      </c>
      <c r="AB155">
        <f t="shared" si="31"/>
        <v>239228.94376348084</v>
      </c>
      <c r="AC155">
        <f t="shared" si="32"/>
        <v>1797.6319138282349</v>
      </c>
      <c r="AD155">
        <f t="shared" si="33"/>
        <v>2252.9433274453913</v>
      </c>
      <c r="AE155">
        <f t="shared" si="28"/>
        <v>455.3114136171564</v>
      </c>
      <c r="AF155">
        <f t="shared" si="34"/>
        <v>290411.61289795331</v>
      </c>
      <c r="AG155">
        <f t="shared" si="35"/>
        <v>40771.056236519224</v>
      </c>
      <c r="AO155">
        <f t="shared" si="36"/>
        <v>147</v>
      </c>
      <c r="AP155">
        <f t="shared" si="37"/>
        <v>105940.82679389062</v>
      </c>
      <c r="AQ155">
        <f t="shared" si="38"/>
        <v>809.1347651712357</v>
      </c>
      <c r="AR155">
        <f t="shared" si="39"/>
        <v>2752.9433274453913</v>
      </c>
      <c r="AS155">
        <f t="shared" si="29"/>
        <v>1943.8085622741555</v>
      </c>
      <c r="AT155">
        <f t="shared" si="40"/>
        <v>230623.49592836321</v>
      </c>
      <c r="AU155">
        <f t="shared" si="41"/>
        <v>174059.17320610923</v>
      </c>
    </row>
    <row r="156" spans="27:47" ht="14.4">
      <c r="AA156">
        <f t="shared" si="30"/>
        <v>148</v>
      </c>
      <c r="AB156">
        <f t="shared" si="31"/>
        <v>238770.21751426155</v>
      </c>
      <c r="AC156">
        <f t="shared" si="32"/>
        <v>1794.2170782261062</v>
      </c>
      <c r="AD156">
        <f t="shared" si="33"/>
        <v>2252.9433274453913</v>
      </c>
      <c r="AE156">
        <f t="shared" si="28"/>
        <v>458.72624921928514</v>
      </c>
      <c r="AF156">
        <f t="shared" si="34"/>
        <v>292205.8299761794</v>
      </c>
      <c r="AG156">
        <f t="shared" si="35"/>
        <v>41229.782485738506</v>
      </c>
      <c r="AO156">
        <f t="shared" si="36"/>
        <v>148</v>
      </c>
      <c r="AP156">
        <f t="shared" si="37"/>
        <v>103982.43966739941</v>
      </c>
      <c r="AQ156">
        <f t="shared" si="38"/>
        <v>794.55620095417964</v>
      </c>
      <c r="AR156">
        <f t="shared" si="39"/>
        <v>2752.9433274453913</v>
      </c>
      <c r="AS156">
        <f t="shared" si="29"/>
        <v>1958.3871264912118</v>
      </c>
      <c r="AT156">
        <f t="shared" si="40"/>
        <v>231418.0521293174</v>
      </c>
      <c r="AU156">
        <f t="shared" si="41"/>
        <v>176017.56033260043</v>
      </c>
    </row>
    <row r="157" spans="27:47" ht="14.4">
      <c r="AA157">
        <f t="shared" si="30"/>
        <v>149</v>
      </c>
      <c r="AB157">
        <f t="shared" si="31"/>
        <v>238308.05081817313</v>
      </c>
      <c r="AC157">
        <f t="shared" si="32"/>
        <v>1790.7766313569616</v>
      </c>
      <c r="AD157">
        <f t="shared" si="33"/>
        <v>2252.9433274453913</v>
      </c>
      <c r="AE157">
        <f t="shared" si="28"/>
        <v>462.16669608842972</v>
      </c>
      <c r="AF157">
        <f t="shared" si="34"/>
        <v>293996.60660753638</v>
      </c>
      <c r="AG157">
        <f t="shared" si="35"/>
        <v>41691.949181826938</v>
      </c>
      <c r="AO157">
        <f t="shared" si="36"/>
        <v>149</v>
      </c>
      <c r="AP157">
        <f t="shared" si="37"/>
        <v>102009.36463745951</v>
      </c>
      <c r="AQ157">
        <f t="shared" si="38"/>
        <v>779.86829750549555</v>
      </c>
      <c r="AR157">
        <f t="shared" si="39"/>
        <v>2752.9433274453913</v>
      </c>
      <c r="AS157">
        <f t="shared" si="29"/>
        <v>1973.0750299398958</v>
      </c>
      <c r="AT157">
        <f t="shared" si="40"/>
        <v>232197.92042682288</v>
      </c>
      <c r="AU157">
        <f t="shared" si="41"/>
        <v>177990.63536254034</v>
      </c>
    </row>
    <row r="158" spans="27:47" ht="14.4">
      <c r="AA158">
        <f t="shared" si="30"/>
        <v>150</v>
      </c>
      <c r="AB158">
        <f t="shared" si="31"/>
        <v>237842.41787186405</v>
      </c>
      <c r="AC158">
        <f t="shared" si="32"/>
        <v>1787.3103811362985</v>
      </c>
      <c r="AD158">
        <f t="shared" si="33"/>
        <v>2252.9433274453913</v>
      </c>
      <c r="AE158">
        <f t="shared" si="28"/>
        <v>465.63294630909286</v>
      </c>
      <c r="AF158">
        <f t="shared" si="34"/>
        <v>295783.91698867269</v>
      </c>
      <c r="AG158">
        <f t="shared" si="35"/>
        <v>42157.582128136033</v>
      </c>
      <c r="AO158">
        <f t="shared" si="36"/>
        <v>150</v>
      </c>
      <c r="AP158">
        <f t="shared" si="37"/>
        <v>100021.49154479506</v>
      </c>
      <c r="AQ158">
        <f t="shared" si="38"/>
        <v>765.07023478094629</v>
      </c>
      <c r="AR158">
        <f t="shared" si="39"/>
        <v>2752.9433274453913</v>
      </c>
      <c r="AS158">
        <f t="shared" si="29"/>
        <v>1987.873092664445</v>
      </c>
      <c r="AT158">
        <f t="shared" si="40"/>
        <v>232962.99066160384</v>
      </c>
      <c r="AU158">
        <f t="shared" si="41"/>
        <v>179978.50845520478</v>
      </c>
    </row>
    <row r="159" spans="27:47" ht="14.4">
      <c r="AA159">
        <f t="shared" si="30"/>
        <v>151</v>
      </c>
      <c r="AB159">
        <f t="shared" si="31"/>
        <v>237373.29267845763</v>
      </c>
      <c r="AC159">
        <f t="shared" si="32"/>
        <v>1783.8181340389804</v>
      </c>
      <c r="AD159">
        <f t="shared" si="33"/>
        <v>2252.9433274453913</v>
      </c>
      <c r="AE159">
        <f t="shared" si="28"/>
        <v>469.12519340641097</v>
      </c>
      <c r="AF159">
        <f t="shared" si="34"/>
        <v>297567.73512271169</v>
      </c>
      <c r="AG159">
        <f t="shared" si="35"/>
        <v>42626.707321542446</v>
      </c>
      <c r="AO159">
        <f t="shared" si="36"/>
        <v>151</v>
      </c>
      <c r="AP159">
        <f t="shared" si="37"/>
        <v>98018.709403935631</v>
      </c>
      <c r="AQ159">
        <f t="shared" si="38"/>
        <v>750.16118658596292</v>
      </c>
      <c r="AR159">
        <f t="shared" si="39"/>
        <v>2752.9433274453913</v>
      </c>
      <c r="AS159">
        <f t="shared" si="29"/>
        <v>2002.7821408594284</v>
      </c>
      <c r="AT159">
        <f t="shared" si="40"/>
        <v>233713.15184818979</v>
      </c>
      <c r="AU159">
        <f t="shared" si="41"/>
        <v>181981.29059606421</v>
      </c>
    </row>
    <row r="160" spans="27:47" ht="14.4">
      <c r="AA160">
        <f t="shared" si="30"/>
        <v>152</v>
      </c>
      <c r="AB160">
        <f t="shared" si="31"/>
        <v>236900.64904610068</v>
      </c>
      <c r="AC160">
        <f t="shared" si="32"/>
        <v>1780.2996950884321</v>
      </c>
      <c r="AD160">
        <f t="shared" si="33"/>
        <v>2252.9433274453913</v>
      </c>
      <c r="AE160">
        <f t="shared" si="28"/>
        <v>472.64363235695919</v>
      </c>
      <c r="AF160">
        <f t="shared" si="34"/>
        <v>299348.0348178001</v>
      </c>
      <c r="AG160">
        <f t="shared" si="35"/>
        <v>43099.350953899404</v>
      </c>
      <c r="AO160">
        <f t="shared" si="36"/>
        <v>152</v>
      </c>
      <c r="AP160">
        <f t="shared" si="37"/>
        <v>96000.90639701976</v>
      </c>
      <c r="AQ160">
        <f t="shared" si="38"/>
        <v>735.14032052951723</v>
      </c>
      <c r="AR160">
        <f t="shared" si="39"/>
        <v>2752.9433274453913</v>
      </c>
      <c r="AS160">
        <f t="shared" si="29"/>
        <v>2017.803006915874</v>
      </c>
      <c r="AT160">
        <f t="shared" si="40"/>
        <v>234448.29216871932</v>
      </c>
      <c r="AU160">
        <f t="shared" si="41"/>
        <v>183999.09360298008</v>
      </c>
    </row>
    <row r="161" spans="27:47" ht="14.4">
      <c r="AA161">
        <f t="shared" si="30"/>
        <v>153</v>
      </c>
      <c r="AB161">
        <f t="shared" si="31"/>
        <v>236424.46058650105</v>
      </c>
      <c r="AC161">
        <f t="shared" si="32"/>
        <v>1776.7548678457549</v>
      </c>
      <c r="AD161">
        <f t="shared" si="33"/>
        <v>2252.9433274453913</v>
      </c>
      <c r="AE161">
        <f t="shared" si="28"/>
        <v>476.18845959963642</v>
      </c>
      <c r="AF161">
        <f t="shared" si="34"/>
        <v>301124.78968564584</v>
      </c>
      <c r="AG161">
        <f t="shared" si="35"/>
        <v>43575.539413499042</v>
      </c>
      <c r="AO161">
        <f t="shared" si="36"/>
        <v>153</v>
      </c>
      <c r="AP161">
        <f t="shared" si="37"/>
        <v>93967.969867552019</v>
      </c>
      <c r="AQ161">
        <f t="shared" si="38"/>
        <v>720.00679797764815</v>
      </c>
      <c r="AR161">
        <f t="shared" si="39"/>
        <v>2752.9433274453913</v>
      </c>
      <c r="AS161">
        <f t="shared" si="29"/>
        <v>2032.9365294677432</v>
      </c>
      <c r="AT161">
        <f t="shared" si="40"/>
        <v>235168.29896669695</v>
      </c>
      <c r="AU161">
        <f t="shared" si="41"/>
        <v>186032.03013244784</v>
      </c>
    </row>
    <row r="162" spans="27:47" ht="14.4">
      <c r="AA162">
        <f t="shared" si="30"/>
        <v>154</v>
      </c>
      <c r="AB162">
        <f t="shared" si="31"/>
        <v>235944.70071345443</v>
      </c>
      <c r="AC162">
        <f t="shared" si="32"/>
        <v>1773.1834543987579</v>
      </c>
      <c r="AD162">
        <f t="shared" si="33"/>
        <v>2252.9433274453913</v>
      </c>
      <c r="AE162">
        <f t="shared" si="28"/>
        <v>479.7598730466334</v>
      </c>
      <c r="AF162">
        <f t="shared" si="34"/>
        <v>302897.9731400446</v>
      </c>
      <c r="AG162">
        <f t="shared" si="35"/>
        <v>44055.299286545676</v>
      </c>
      <c r="AO162">
        <f t="shared" si="36"/>
        <v>154</v>
      </c>
      <c r="AP162">
        <f t="shared" si="37"/>
        <v>91919.786314113269</v>
      </c>
      <c r="AQ162">
        <f t="shared" si="38"/>
        <v>704.7597740066401</v>
      </c>
      <c r="AR162">
        <f t="shared" si="39"/>
        <v>2752.9433274453913</v>
      </c>
      <c r="AS162">
        <f t="shared" si="29"/>
        <v>2048.183553438751</v>
      </c>
      <c r="AT162">
        <f t="shared" si="40"/>
        <v>235873.05874070359</v>
      </c>
      <c r="AU162">
        <f t="shared" si="41"/>
        <v>188080.21368588659</v>
      </c>
    </row>
    <row r="163" spans="27:47" ht="14.4">
      <c r="AA163">
        <f t="shared" si="30"/>
        <v>155</v>
      </c>
      <c r="AB163">
        <f t="shared" si="31"/>
        <v>235461.34264135995</v>
      </c>
      <c r="AC163">
        <f t="shared" si="32"/>
        <v>1769.585255350908</v>
      </c>
      <c r="AD163">
        <f t="shared" si="33"/>
        <v>2252.9433274453913</v>
      </c>
      <c r="AE163">
        <f t="shared" si="28"/>
        <v>483.3580720944833</v>
      </c>
      <c r="AF163">
        <f t="shared" si="34"/>
        <v>304667.55839539552</v>
      </c>
      <c r="AG163">
        <f t="shared" si="35"/>
        <v>44538.657358640157</v>
      </c>
      <c r="AO163">
        <f t="shared" si="36"/>
        <v>155</v>
      </c>
      <c r="AP163">
        <f t="shared" si="37"/>
        <v>89856.241384023728</v>
      </c>
      <c r="AQ163">
        <f t="shared" si="38"/>
        <v>689.39839735584951</v>
      </c>
      <c r="AR163">
        <f t="shared" si="39"/>
        <v>2752.9433274453913</v>
      </c>
      <c r="AS163">
        <f t="shared" si="29"/>
        <v>2063.5449300895416</v>
      </c>
      <c r="AT163">
        <f t="shared" si="40"/>
        <v>236562.45713805943</v>
      </c>
      <c r="AU163">
        <f t="shared" si="41"/>
        <v>190143.75861597614</v>
      </c>
    </row>
    <row r="164" spans="27:47" ht="14.4">
      <c r="AA164">
        <f t="shared" si="30"/>
        <v>156</v>
      </c>
      <c r="AB164">
        <f t="shared" si="31"/>
        <v>234974.35938372475</v>
      </c>
      <c r="AC164">
        <f t="shared" si="32"/>
        <v>1765.9600698101997</v>
      </c>
      <c r="AD164">
        <f t="shared" si="33"/>
        <v>2252.9433274453913</v>
      </c>
      <c r="AE164">
        <f t="shared" si="28"/>
        <v>486.98325763519165</v>
      </c>
      <c r="AF164">
        <f t="shared" si="34"/>
        <v>306433.51846520574</v>
      </c>
      <c r="AG164">
        <f t="shared" si="35"/>
        <v>45025.640616275348</v>
      </c>
      <c r="AO164">
        <f t="shared" si="36"/>
        <v>156</v>
      </c>
      <c r="AP164">
        <f t="shared" si="37"/>
        <v>87777.21986695852</v>
      </c>
      <c r="AQ164">
        <f t="shared" si="38"/>
        <v>673.92181038017793</v>
      </c>
      <c r="AR164">
        <f t="shared" si="39"/>
        <v>2752.9433274453913</v>
      </c>
      <c r="AS164">
        <f t="shared" si="29"/>
        <v>2079.0215170652136</v>
      </c>
      <c r="AT164">
        <f t="shared" si="40"/>
        <v>237236.37894843961</v>
      </c>
      <c r="AU164">
        <f t="shared" si="41"/>
        <v>192222.78013304135</v>
      </c>
    </row>
    <row r="165" spans="27:47" ht="14.4">
      <c r="AA165">
        <f t="shared" si="30"/>
        <v>157</v>
      </c>
      <c r="AB165">
        <f t="shared" si="31"/>
        <v>234483.72375165729</v>
      </c>
      <c r="AC165">
        <f t="shared" si="32"/>
        <v>1762.3076953779355</v>
      </c>
      <c r="AD165">
        <f t="shared" si="33"/>
        <v>2252.9433274453913</v>
      </c>
      <c r="AE165">
        <f t="shared" si="28"/>
        <v>490.63563206745584</v>
      </c>
      <c r="AF165">
        <f t="shared" si="34"/>
        <v>308195.82616058365</v>
      </c>
      <c r="AG165">
        <f t="shared" si="35"/>
        <v>45516.276248342801</v>
      </c>
      <c r="AO165">
        <f t="shared" si="36"/>
        <v>157</v>
      </c>
      <c r="AP165">
        <f t="shared" si="37"/>
        <v>85682.605688515323</v>
      </c>
      <c r="AQ165">
        <f t="shared" si="38"/>
        <v>658.32914900218884</v>
      </c>
      <c r="AR165">
        <f t="shared" si="39"/>
        <v>2752.9433274453913</v>
      </c>
      <c r="AS165">
        <f t="shared" si="29"/>
        <v>2094.6141784432025</v>
      </c>
      <c r="AT165">
        <f t="shared" si="40"/>
        <v>237894.70809744179</v>
      </c>
      <c r="AU165">
        <f t="shared" si="41"/>
        <v>194317.39431148456</v>
      </c>
    </row>
    <row r="166" spans="27:47" ht="14.4">
      <c r="AA166">
        <f t="shared" si="30"/>
        <v>158</v>
      </c>
      <c r="AB166">
        <f t="shared" si="31"/>
        <v>233989.40835234933</v>
      </c>
      <c r="AC166">
        <f t="shared" si="32"/>
        <v>1758.6279281374295</v>
      </c>
      <c r="AD166">
        <f t="shared" si="33"/>
        <v>2252.9433274453913</v>
      </c>
      <c r="AE166">
        <f t="shared" si="28"/>
        <v>494.3153993079618</v>
      </c>
      <c r="AF166">
        <f t="shared" si="34"/>
        <v>309954.45408872108</v>
      </c>
      <c r="AG166">
        <f t="shared" si="35"/>
        <v>46010.591647650763</v>
      </c>
      <c r="AO166">
        <f t="shared" si="36"/>
        <v>158</v>
      </c>
      <c r="AP166">
        <f t="shared" si="37"/>
        <v>83572.28190373379</v>
      </c>
      <c r="AQ166">
        <f t="shared" si="38"/>
        <v>642.61954266386488</v>
      </c>
      <c r="AR166">
        <f t="shared" si="39"/>
        <v>2752.9433274453913</v>
      </c>
      <c r="AS166">
        <f t="shared" si="29"/>
        <v>2110.3237847815262</v>
      </c>
      <c r="AT166">
        <f t="shared" si="40"/>
        <v>238537.32764010565</v>
      </c>
      <c r="AU166">
        <f t="shared" si="41"/>
        <v>196427.71809626609</v>
      </c>
    </row>
    <row r="167" spans="27:47" ht="14.4">
      <c r="AA167">
        <f t="shared" si="30"/>
        <v>159</v>
      </c>
      <c r="AB167">
        <f t="shared" si="31"/>
        <v>233491.38558754657</v>
      </c>
      <c r="AC167">
        <f t="shared" si="32"/>
        <v>1754.9205626426199</v>
      </c>
      <c r="AD167">
        <f t="shared" si="33"/>
        <v>2252.9433274453913</v>
      </c>
      <c r="AE167">
        <f t="shared" si="28"/>
        <v>498.02276480277146</v>
      </c>
      <c r="AF167">
        <f t="shared" si="34"/>
        <v>311709.3746513637</v>
      </c>
      <c r="AG167">
        <f t="shared" si="35"/>
        <v>46508.614412453535</v>
      </c>
      <c r="AO167">
        <f t="shared" si="36"/>
        <v>159</v>
      </c>
      <c r="AP167">
        <f t="shared" si="37"/>
        <v>81446.13069056641</v>
      </c>
      <c r="AQ167">
        <f t="shared" si="38"/>
        <v>626.7921142780034</v>
      </c>
      <c r="AR167">
        <f t="shared" si="39"/>
        <v>2752.9433274453913</v>
      </c>
      <c r="AS167">
        <f t="shared" si="29"/>
        <v>2126.1512131673881</v>
      </c>
      <c r="AT167">
        <f t="shared" si="40"/>
        <v>239164.11975438366</v>
      </c>
      <c r="AU167">
        <f t="shared" si="41"/>
        <v>198553.86930943347</v>
      </c>
    </row>
    <row r="168" spans="27:47" ht="14.4">
      <c r="AA168">
        <f t="shared" si="30"/>
        <v>160</v>
      </c>
      <c r="AB168">
        <f t="shared" si="31"/>
        <v>232989.62765200777</v>
      </c>
      <c r="AC168">
        <f t="shared" si="32"/>
        <v>1751.1853919065991</v>
      </c>
      <c r="AD168">
        <f t="shared" si="33"/>
        <v>2252.9433274453913</v>
      </c>
      <c r="AE168">
        <f t="shared" si="28"/>
        <v>501.75793553879225</v>
      </c>
      <c r="AF168">
        <f t="shared" si="34"/>
        <v>313460.56004327029</v>
      </c>
      <c r="AG168">
        <f t="shared" si="35"/>
        <v>47010.372347992328</v>
      </c>
      <c r="AO168">
        <f t="shared" si="36"/>
        <v>160</v>
      </c>
      <c r="AP168">
        <f t="shared" si="37"/>
        <v>79304.033343300267</v>
      </c>
      <c r="AQ168">
        <f t="shared" si="38"/>
        <v>610.84598017924804</v>
      </c>
      <c r="AR168">
        <f t="shared" si="39"/>
        <v>2752.9433274453913</v>
      </c>
      <c r="AS168">
        <f t="shared" si="29"/>
        <v>2142.0973472661435</v>
      </c>
      <c r="AT168">
        <f t="shared" si="40"/>
        <v>239774.96573456289</v>
      </c>
      <c r="AU168">
        <f t="shared" si="41"/>
        <v>200695.96665669963</v>
      </c>
    </row>
    <row r="169" spans="27:47" ht="14.4">
      <c r="AA169">
        <f t="shared" si="30"/>
        <v>161</v>
      </c>
      <c r="AB169">
        <f t="shared" si="31"/>
        <v>232484.10653195242</v>
      </c>
      <c r="AC169">
        <f t="shared" si="32"/>
        <v>1747.4222073900582</v>
      </c>
      <c r="AD169">
        <f t="shared" si="33"/>
        <v>2252.9433274453913</v>
      </c>
      <c r="AE169">
        <f t="shared" si="28"/>
        <v>505.52112005533309</v>
      </c>
      <c r="AF169">
        <f t="shared" si="34"/>
        <v>315207.98225066037</v>
      </c>
      <c r="AG169">
        <f t="shared" si="35"/>
        <v>47515.89346804766</v>
      </c>
      <c r="AO169">
        <f t="shared" si="36"/>
        <v>161</v>
      </c>
      <c r="AP169">
        <f t="shared" si="37"/>
        <v>77145.870265929625</v>
      </c>
      <c r="AQ169">
        <f t="shared" si="38"/>
        <v>594.78025007475196</v>
      </c>
      <c r="AR169">
        <f t="shared" si="39"/>
        <v>2752.9433274453913</v>
      </c>
      <c r="AS169">
        <f t="shared" si="29"/>
        <v>2158.1630773706393</v>
      </c>
      <c r="AT169">
        <f t="shared" si="40"/>
        <v>240369.74598463764</v>
      </c>
      <c r="AU169">
        <f t="shared" si="41"/>
        <v>202854.12973407027</v>
      </c>
    </row>
    <row r="170" spans="27:47" ht="14.4">
      <c r="AA170">
        <f t="shared" si="30"/>
        <v>162</v>
      </c>
      <c r="AB170">
        <f t="shared" si="31"/>
        <v>231974.79400349667</v>
      </c>
      <c r="AC170">
        <f t="shared" si="32"/>
        <v>1743.6307989896432</v>
      </c>
      <c r="AD170">
        <f t="shared" si="33"/>
        <v>2252.9433274453913</v>
      </c>
      <c r="AE170">
        <f t="shared" si="28"/>
        <v>509.31252845574818</v>
      </c>
      <c r="AF170">
        <f t="shared" si="34"/>
        <v>316951.61304964998</v>
      </c>
      <c r="AG170">
        <f t="shared" si="35"/>
        <v>48025.205996503406</v>
      </c>
      <c r="AO170">
        <f t="shared" si="36"/>
        <v>162</v>
      </c>
      <c r="AP170">
        <f t="shared" si="37"/>
        <v>74971.520965478703</v>
      </c>
      <c r="AQ170">
        <f t="shared" si="38"/>
        <v>578.59402699447219</v>
      </c>
      <c r="AR170">
        <f t="shared" si="39"/>
        <v>2752.9433274453913</v>
      </c>
      <c r="AS170">
        <f t="shared" si="29"/>
        <v>2174.3493004509191</v>
      </c>
      <c r="AT170">
        <f t="shared" si="40"/>
        <v>240948.34001163213</v>
      </c>
      <c r="AU170">
        <f t="shared" si="41"/>
        <v>205028.47903452118</v>
      </c>
    </row>
    <row r="171" spans="27:47" ht="14.4">
      <c r="AA171">
        <f t="shared" si="30"/>
        <v>163</v>
      </c>
      <c r="AB171">
        <f t="shared" si="31"/>
        <v>231461.6616310775</v>
      </c>
      <c r="AC171">
        <f t="shared" si="32"/>
        <v>1739.810955026225</v>
      </c>
      <c r="AD171">
        <f t="shared" si="33"/>
        <v>2252.9433274453913</v>
      </c>
      <c r="AE171">
        <f t="shared" si="28"/>
        <v>513.13237241916636</v>
      </c>
      <c r="AF171">
        <f t="shared" si="34"/>
        <v>318691.42400467623</v>
      </c>
      <c r="AG171">
        <f t="shared" si="35"/>
        <v>48538.338368922574</v>
      </c>
      <c r="AO171">
        <f t="shared" si="36"/>
        <v>163</v>
      </c>
      <c r="AP171">
        <f t="shared" si="37"/>
        <v>72780.8640452744</v>
      </c>
      <c r="AQ171">
        <f t="shared" si="38"/>
        <v>562.28640724109027</v>
      </c>
      <c r="AR171">
        <f t="shared" si="39"/>
        <v>2752.9433274453913</v>
      </c>
      <c r="AS171">
        <f t="shared" si="29"/>
        <v>2190.6569202043011</v>
      </c>
      <c r="AT171">
        <f t="shared" si="40"/>
        <v>241510.62641887323</v>
      </c>
      <c r="AU171">
        <f t="shared" si="41"/>
        <v>207219.13595472547</v>
      </c>
    </row>
    <row r="172" spans="27:47" ht="14.4">
      <c r="AA172">
        <f t="shared" si="30"/>
        <v>164</v>
      </c>
      <c r="AB172">
        <f t="shared" si="31"/>
        <v>230944.6807658652</v>
      </c>
      <c r="AC172">
        <f t="shared" si="32"/>
        <v>1735.9624622330812</v>
      </c>
      <c r="AD172">
        <f t="shared" si="33"/>
        <v>2252.9433274453913</v>
      </c>
      <c r="AE172">
        <f t="shared" si="28"/>
        <v>516.98086521231016</v>
      </c>
      <c r="AF172">
        <f t="shared" si="34"/>
        <v>320427.38646690932</v>
      </c>
      <c r="AG172">
        <f t="shared" si="35"/>
        <v>49055.319234134884</v>
      </c>
      <c r="AO172">
        <f t="shared" si="36"/>
        <v>164</v>
      </c>
      <c r="AP172">
        <f t="shared" si="37"/>
        <v>70573.777198168566</v>
      </c>
      <c r="AQ172">
        <f t="shared" si="38"/>
        <v>545.85648033955795</v>
      </c>
      <c r="AR172">
        <f t="shared" si="39"/>
        <v>2752.9433274453913</v>
      </c>
      <c r="AS172">
        <f t="shared" si="29"/>
        <v>2207.0868471058334</v>
      </c>
      <c r="AT172">
        <f t="shared" si="40"/>
        <v>242056.4828992128</v>
      </c>
      <c r="AU172">
        <f t="shared" si="41"/>
        <v>209426.22280183129</v>
      </c>
    </row>
    <row r="173" spans="27:47" ht="14.4">
      <c r="AA173">
        <f t="shared" si="30"/>
        <v>165</v>
      </c>
      <c r="AB173">
        <f t="shared" si="31"/>
        <v>230423.82254416379</v>
      </c>
      <c r="AC173">
        <f t="shared" si="32"/>
        <v>1732.0851057439888</v>
      </c>
      <c r="AD173">
        <f t="shared" si="33"/>
        <v>2252.9433274453913</v>
      </c>
      <c r="AE173">
        <f t="shared" si="28"/>
        <v>520.8582217014025</v>
      </c>
      <c r="AF173">
        <f t="shared" si="34"/>
        <v>322159.47157265333</v>
      </c>
      <c r="AG173">
        <f t="shared" si="35"/>
        <v>49576.177455836289</v>
      </c>
      <c r="AO173">
        <f t="shared" si="36"/>
        <v>165</v>
      </c>
      <c r="AP173">
        <f t="shared" si="37"/>
        <v>68350.137199709439</v>
      </c>
      <c r="AQ173">
        <f t="shared" si="38"/>
        <v>529.30332898626421</v>
      </c>
      <c r="AR173">
        <f t="shared" si="39"/>
        <v>2752.9433274453913</v>
      </c>
      <c r="AS173">
        <f t="shared" si="29"/>
        <v>2223.6399984591271</v>
      </c>
      <c r="AT173">
        <f t="shared" si="40"/>
        <v>242585.78622819905</v>
      </c>
      <c r="AU173">
        <f t="shared" si="41"/>
        <v>211649.86280029043</v>
      </c>
    </row>
    <row r="174" spans="27:47" ht="14.4">
      <c r="AA174">
        <f t="shared" si="30"/>
        <v>166</v>
      </c>
      <c r="AB174">
        <f t="shared" si="31"/>
        <v>229899.05788579962</v>
      </c>
      <c r="AC174">
        <f t="shared" si="32"/>
        <v>1728.1786690812285</v>
      </c>
      <c r="AD174">
        <f t="shared" si="33"/>
        <v>2252.9433274453913</v>
      </c>
      <c r="AE174">
        <f t="shared" si="28"/>
        <v>524.76465836416287</v>
      </c>
      <c r="AF174">
        <f t="shared" si="34"/>
        <v>323887.65024173458</v>
      </c>
      <c r="AG174">
        <f t="shared" si="35"/>
        <v>50100.94211420045</v>
      </c>
      <c r="AO174">
        <f t="shared" si="36"/>
        <v>166</v>
      </c>
      <c r="AP174">
        <f t="shared" si="37"/>
        <v>66109.819901261872</v>
      </c>
      <c r="AQ174">
        <f t="shared" si="38"/>
        <v>512.62602899782075</v>
      </c>
      <c r="AR174">
        <f t="shared" si="39"/>
        <v>2752.9433274453913</v>
      </c>
      <c r="AS174">
        <f t="shared" si="29"/>
        <v>2240.3172984475705</v>
      </c>
      <c r="AT174">
        <f t="shared" si="40"/>
        <v>243098.41225719688</v>
      </c>
      <c r="AU174">
        <f t="shared" si="41"/>
        <v>213890.180098738</v>
      </c>
    </row>
    <row r="175" spans="27:47" ht="14.4">
      <c r="AA175">
        <f t="shared" si="30"/>
        <v>167</v>
      </c>
      <c r="AB175">
        <f t="shared" si="31"/>
        <v>229370.35749249771</v>
      </c>
      <c r="AC175">
        <f t="shared" si="32"/>
        <v>1724.242934143497</v>
      </c>
      <c r="AD175">
        <f t="shared" si="33"/>
        <v>2252.9433274453913</v>
      </c>
      <c r="AE175">
        <f t="shared" si="28"/>
        <v>528.70039330189434</v>
      </c>
      <c r="AF175">
        <f t="shared" si="34"/>
        <v>325611.8931758781</v>
      </c>
      <c r="AG175">
        <f t="shared" si="35"/>
        <v>50629.642507502344</v>
      </c>
      <c r="AO175">
        <f t="shared" si="36"/>
        <v>167</v>
      </c>
      <c r="AP175">
        <f t="shared" si="37"/>
        <v>63852.700223075946</v>
      </c>
      <c r="AQ175">
        <f t="shared" si="38"/>
        <v>495.82364925946399</v>
      </c>
      <c r="AR175">
        <f t="shared" si="39"/>
        <v>2752.9433274453913</v>
      </c>
      <c r="AS175">
        <f t="shared" si="29"/>
        <v>2257.1196781859271</v>
      </c>
      <c r="AT175">
        <f t="shared" si="40"/>
        <v>243594.23590645634</v>
      </c>
      <c r="AU175">
        <f t="shared" si="41"/>
        <v>216147.29977692393</v>
      </c>
    </row>
    <row r="176" spans="27:47" ht="14.4">
      <c r="AA176">
        <f t="shared" si="30"/>
        <v>168</v>
      </c>
      <c r="AB176">
        <f t="shared" si="31"/>
        <v>228837.69184624605</v>
      </c>
      <c r="AC176">
        <f t="shared" si="32"/>
        <v>1720.2776811937329</v>
      </c>
      <c r="AD176">
        <f t="shared" si="33"/>
        <v>2252.9433274453913</v>
      </c>
      <c r="AE176">
        <f t="shared" si="28"/>
        <v>532.66564625165847</v>
      </c>
      <c r="AF176">
        <f t="shared" si="34"/>
        <v>327332.17085707182</v>
      </c>
      <c r="AG176">
        <f t="shared" si="35"/>
        <v>51162.308153753998</v>
      </c>
      <c r="AO176">
        <f t="shared" si="36"/>
        <v>168</v>
      </c>
      <c r="AP176">
        <f t="shared" si="37"/>
        <v>61578.652147303626</v>
      </c>
      <c r="AQ176">
        <f t="shared" si="38"/>
        <v>478.89525167306959</v>
      </c>
      <c r="AR176">
        <f t="shared" si="39"/>
        <v>2752.9433274453913</v>
      </c>
      <c r="AS176">
        <f t="shared" si="29"/>
        <v>2274.0480757723217</v>
      </c>
      <c r="AT176">
        <f t="shared" si="40"/>
        <v>244073.1311581294</v>
      </c>
      <c r="AU176">
        <f t="shared" si="41"/>
        <v>218421.34785269626</v>
      </c>
    </row>
    <row r="177" spans="27:47" ht="14.4">
      <c r="AA177">
        <f t="shared" si="30"/>
        <v>169</v>
      </c>
      <c r="AB177">
        <f t="shared" si="31"/>
        <v>228301.03120764749</v>
      </c>
      <c r="AC177">
        <f t="shared" si="32"/>
        <v>1716.2826888468453</v>
      </c>
      <c r="AD177">
        <f t="shared" si="33"/>
        <v>2252.9433274453913</v>
      </c>
      <c r="AE177">
        <f t="shared" si="28"/>
        <v>536.66063859854603</v>
      </c>
      <c r="AF177">
        <f t="shared" si="34"/>
        <v>329048.45354591869</v>
      </c>
      <c r="AG177">
        <f t="shared" si="35"/>
        <v>51698.968792352542</v>
      </c>
      <c r="AO177">
        <f t="shared" si="36"/>
        <v>169</v>
      </c>
      <c r="AP177">
        <f t="shared" si="37"/>
        <v>59287.548710963012</v>
      </c>
      <c r="AQ177">
        <f t="shared" si="38"/>
        <v>461.83989110477717</v>
      </c>
      <c r="AR177">
        <f t="shared" si="39"/>
        <v>2752.9433274453913</v>
      </c>
      <c r="AS177">
        <f t="shared" si="29"/>
        <v>2291.1034363406143</v>
      </c>
      <c r="AT177">
        <f t="shared" si="40"/>
        <v>244534.97104923418</v>
      </c>
      <c r="AU177">
        <f t="shared" si="41"/>
        <v>220712.45128903686</v>
      </c>
    </row>
    <row r="178" spans="27:47" ht="14.4">
      <c r="AA178">
        <f t="shared" si="30"/>
        <v>170</v>
      </c>
      <c r="AB178">
        <f t="shared" si="31"/>
        <v>227760.34561425945</v>
      </c>
      <c r="AC178">
        <f t="shared" si="32"/>
        <v>1712.2577340573562</v>
      </c>
      <c r="AD178">
        <f t="shared" si="33"/>
        <v>2252.9433274453913</v>
      </c>
      <c r="AE178">
        <f t="shared" si="28"/>
        <v>540.68559338803516</v>
      </c>
      <c r="AF178">
        <f t="shared" si="34"/>
        <v>330760.71127997607</v>
      </c>
      <c r="AG178">
        <f t="shared" si="35"/>
        <v>52239.654385740578</v>
      </c>
      <c r="AO178">
        <f t="shared" si="36"/>
        <v>170</v>
      </c>
      <c r="AP178">
        <f t="shared" si="37"/>
        <v>56979.261998849841</v>
      </c>
      <c r="AQ178">
        <f t="shared" si="38"/>
        <v>444.6566153322226</v>
      </c>
      <c r="AR178">
        <f t="shared" si="39"/>
        <v>2752.9433274453913</v>
      </c>
      <c r="AS178">
        <f t="shared" si="29"/>
        <v>2308.2867121131685</v>
      </c>
      <c r="AT178">
        <f t="shared" si="40"/>
        <v>244979.62766456642</v>
      </c>
      <c r="AU178">
        <f t="shared" si="41"/>
        <v>223020.73800115002</v>
      </c>
    </row>
    <row r="179" spans="27:47" ht="14.4">
      <c r="AA179">
        <f t="shared" si="30"/>
        <v>171</v>
      </c>
      <c r="AB179">
        <f t="shared" si="31"/>
        <v>227215.604878921</v>
      </c>
      <c r="AC179">
        <f t="shared" si="32"/>
        <v>1708.2025921069458</v>
      </c>
      <c r="AD179">
        <f t="shared" si="33"/>
        <v>2252.9433274453913</v>
      </c>
      <c r="AE179">
        <f t="shared" si="28"/>
        <v>544.74073533844557</v>
      </c>
      <c r="AF179">
        <f t="shared" si="34"/>
        <v>332468.91387208301</v>
      </c>
      <c r="AG179">
        <f t="shared" si="35"/>
        <v>52784.395121079026</v>
      </c>
      <c r="AO179">
        <f t="shared" si="36"/>
        <v>171</v>
      </c>
      <c r="AP179">
        <f t="shared" si="37"/>
        <v>54653.663136395822</v>
      </c>
      <c r="AQ179">
        <f t="shared" si="38"/>
        <v>427.3444649913738</v>
      </c>
      <c r="AR179">
        <f t="shared" si="39"/>
        <v>2752.9433274453913</v>
      </c>
      <c r="AS179">
        <f t="shared" si="29"/>
        <v>2325.5988624540178</v>
      </c>
      <c r="AT179">
        <f t="shared" si="40"/>
        <v>245406.97212955781</v>
      </c>
      <c r="AU179">
        <f t="shared" si="41"/>
        <v>225346.33686360402</v>
      </c>
    </row>
    <row r="180" spans="27:47" ht="14.4">
      <c r="AA180">
        <f t="shared" si="30"/>
        <v>172</v>
      </c>
      <c r="AB180">
        <f t="shared" si="31"/>
        <v>226666.77858806751</v>
      </c>
      <c r="AC180">
        <f t="shared" si="32"/>
        <v>1704.1170365919074</v>
      </c>
      <c r="AD180">
        <f t="shared" si="33"/>
        <v>2252.9433274453913</v>
      </c>
      <c r="AE180">
        <f t="shared" si="28"/>
        <v>548.8262908534839</v>
      </c>
      <c r="AF180">
        <f t="shared" si="34"/>
        <v>334173.03090867493</v>
      </c>
      <c r="AG180">
        <f t="shared" si="35"/>
        <v>53333.221411932507</v>
      </c>
      <c r="AO180">
        <f t="shared" si="36"/>
        <v>172</v>
      </c>
      <c r="AP180">
        <f t="shared" si="37"/>
        <v>52310.6222824734</v>
      </c>
      <c r="AQ180">
        <f t="shared" si="38"/>
        <v>409.90247352296865</v>
      </c>
      <c r="AR180">
        <f t="shared" si="39"/>
        <v>2752.9433274453913</v>
      </c>
      <c r="AS180">
        <f t="shared" si="29"/>
        <v>2343.0408539224227</v>
      </c>
      <c r="AT180">
        <f t="shared" si="40"/>
        <v>245816.87460308077</v>
      </c>
      <c r="AU180">
        <f t="shared" si="41"/>
        <v>227689.37771752645</v>
      </c>
    </row>
    <row r="181" spans="27:47" ht="14.4">
      <c r="AA181">
        <f t="shared" si="30"/>
        <v>173</v>
      </c>
      <c r="AB181">
        <f t="shared" si="31"/>
        <v>226113.83610003261</v>
      </c>
      <c r="AC181">
        <f t="shared" si="32"/>
        <v>1700.0008394105062</v>
      </c>
      <c r="AD181">
        <f t="shared" si="33"/>
        <v>2252.9433274453913</v>
      </c>
      <c r="AE181">
        <f t="shared" si="28"/>
        <v>552.94248803488517</v>
      </c>
      <c r="AF181">
        <f t="shared" si="34"/>
        <v>335873.03174808546</v>
      </c>
      <c r="AG181">
        <f t="shared" si="35"/>
        <v>53886.163899967389</v>
      </c>
      <c r="AO181">
        <f t="shared" si="36"/>
        <v>173</v>
      </c>
      <c r="AP181">
        <f t="shared" si="37"/>
        <v>49950.008622146561</v>
      </c>
      <c r="AQ181">
        <f t="shared" si="38"/>
        <v>392.3296671185505</v>
      </c>
      <c r="AR181">
        <f t="shared" si="39"/>
        <v>2752.9433274453913</v>
      </c>
      <c r="AS181">
        <f t="shared" si="29"/>
        <v>2360.613660326841</v>
      </c>
      <c r="AT181">
        <f t="shared" si="40"/>
        <v>246209.20427019932</v>
      </c>
      <c r="AU181">
        <f t="shared" si="41"/>
        <v>230049.99137785329</v>
      </c>
    </row>
    <row r="182" spans="27:47" ht="14.4">
      <c r="AA182">
        <f t="shared" si="30"/>
        <v>174</v>
      </c>
      <c r="AB182">
        <f t="shared" si="31"/>
        <v>225556.74654333747</v>
      </c>
      <c r="AC182">
        <f t="shared" si="32"/>
        <v>1695.8537707502446</v>
      </c>
      <c r="AD182">
        <f t="shared" si="33"/>
        <v>2252.9433274453913</v>
      </c>
      <c r="AE182">
        <f t="shared" si="28"/>
        <v>557.08955669514671</v>
      </c>
      <c r="AF182">
        <f t="shared" si="34"/>
        <v>337568.88551883568</v>
      </c>
      <c r="AG182">
        <f t="shared" si="35"/>
        <v>54443.253456662533</v>
      </c>
      <c r="AO182">
        <f t="shared" si="36"/>
        <v>174</v>
      </c>
      <c r="AP182">
        <f t="shared" si="37"/>
        <v>47571.690359367269</v>
      </c>
      <c r="AQ182">
        <f t="shared" si="38"/>
        <v>374.62506466609921</v>
      </c>
      <c r="AR182">
        <f t="shared" si="39"/>
        <v>2752.9433274453913</v>
      </c>
      <c r="AS182">
        <f t="shared" si="29"/>
        <v>2378.3182627792921</v>
      </c>
      <c r="AT182">
        <f t="shared" si="40"/>
        <v>246583.82933486541</v>
      </c>
      <c r="AU182">
        <f t="shared" si="41"/>
        <v>232428.30964063259</v>
      </c>
    </row>
    <row r="183" spans="27:47" ht="14.4">
      <c r="AA183">
        <f t="shared" si="30"/>
        <v>175</v>
      </c>
      <c r="AB183">
        <f t="shared" si="31"/>
        <v>224995.47881496712</v>
      </c>
      <c r="AC183">
        <f t="shared" si="32"/>
        <v>1691.675599075031</v>
      </c>
      <c r="AD183">
        <f t="shared" si="33"/>
        <v>2252.9433274453913</v>
      </c>
      <c r="AE183">
        <f t="shared" si="28"/>
        <v>561.26772837036037</v>
      </c>
      <c r="AF183">
        <f t="shared" si="34"/>
        <v>339260.56111791072</v>
      </c>
      <c r="AG183">
        <f t="shared" si="35"/>
        <v>55004.521185032892</v>
      </c>
      <c r="AO183">
        <f t="shared" si="36"/>
        <v>175</v>
      </c>
      <c r="AP183">
        <f t="shared" si="37"/>
        <v>45175.534709617132</v>
      </c>
      <c r="AQ183">
        <f t="shared" si="38"/>
        <v>356.7876776952545</v>
      </c>
      <c r="AR183">
        <f t="shared" si="39"/>
        <v>2752.9433274453913</v>
      </c>
      <c r="AS183">
        <f t="shared" si="29"/>
        <v>2396.1556497501369</v>
      </c>
      <c r="AT183">
        <f t="shared" si="40"/>
        <v>246940.61701256066</v>
      </c>
      <c r="AU183">
        <f t="shared" si="41"/>
        <v>234824.46529038274</v>
      </c>
    </row>
    <row r="184" spans="27:47" ht="14.4">
      <c r="AA184">
        <f t="shared" si="30"/>
        <v>176</v>
      </c>
      <c r="AB184">
        <f t="shared" si="31"/>
        <v>224430.00157863399</v>
      </c>
      <c r="AC184">
        <f t="shared" si="32"/>
        <v>1687.4660911122533</v>
      </c>
      <c r="AD184">
        <f t="shared" si="33"/>
        <v>2252.9433274453913</v>
      </c>
      <c r="AE184">
        <f t="shared" si="28"/>
        <v>565.47723633313808</v>
      </c>
      <c r="AF184">
        <f t="shared" si="34"/>
        <v>340948.02720902296</v>
      </c>
      <c r="AG184">
        <f t="shared" si="35"/>
        <v>55569.998421366028</v>
      </c>
      <c r="AO184">
        <f t="shared" si="36"/>
        <v>176</v>
      </c>
      <c r="AP184">
        <f t="shared" si="37"/>
        <v>42761.407892493866</v>
      </c>
      <c r="AQ184">
        <f t="shared" si="38"/>
        <v>338.81651032212847</v>
      </c>
      <c r="AR184">
        <f t="shared" si="39"/>
        <v>2752.9433274453913</v>
      </c>
      <c r="AS184">
        <f t="shared" si="29"/>
        <v>2414.1268171232628</v>
      </c>
      <c r="AT184">
        <f t="shared" si="40"/>
        <v>247279.43352288278</v>
      </c>
      <c r="AU184">
        <f t="shared" si="41"/>
        <v>237238.592107506</v>
      </c>
    </row>
    <row r="185" spans="27:47" ht="14.4">
      <c r="AA185">
        <f t="shared" si="30"/>
        <v>177</v>
      </c>
      <c r="AB185">
        <f t="shared" si="31"/>
        <v>223860.28326302837</v>
      </c>
      <c r="AC185">
        <f t="shared" si="32"/>
        <v>1683.2250118397549</v>
      </c>
      <c r="AD185">
        <f t="shared" si="33"/>
        <v>2252.9433274453913</v>
      </c>
      <c r="AE185">
        <f t="shared" si="28"/>
        <v>569.71831560563646</v>
      </c>
      <c r="AF185">
        <f t="shared" si="34"/>
        <v>342631.25222086272</v>
      </c>
      <c r="AG185">
        <f t="shared" si="35"/>
        <v>56139.716736971663</v>
      </c>
      <c r="AO185">
        <f t="shared" si="36"/>
        <v>177</v>
      </c>
      <c r="AP185">
        <f t="shared" si="37"/>
        <v>40329.175124242181</v>
      </c>
      <c r="AQ185">
        <f t="shared" si="38"/>
        <v>320.710559193704</v>
      </c>
      <c r="AR185">
        <f t="shared" si="39"/>
        <v>2752.9433274453913</v>
      </c>
      <c r="AS185">
        <f t="shared" si="29"/>
        <v>2432.2327682516875</v>
      </c>
      <c r="AT185">
        <f t="shared" si="40"/>
        <v>247600.1440820765</v>
      </c>
      <c r="AU185">
        <f t="shared" si="41"/>
        <v>239670.82487575768</v>
      </c>
    </row>
    <row r="186" spans="27:47" ht="14.4">
      <c r="AA186">
        <f t="shared" si="30"/>
        <v>178</v>
      </c>
      <c r="AB186">
        <f t="shared" si="31"/>
        <v>223286.29206005568</v>
      </c>
      <c r="AC186">
        <f t="shared" si="32"/>
        <v>1678.9521244727127</v>
      </c>
      <c r="AD186">
        <f t="shared" si="33"/>
        <v>2252.9433274453913</v>
      </c>
      <c r="AE186">
        <f t="shared" si="28"/>
        <v>573.99120297267859</v>
      </c>
      <c r="AF186">
        <f t="shared" si="34"/>
        <v>344310.20434533543</v>
      </c>
      <c r="AG186">
        <f t="shared" si="35"/>
        <v>56713.707939944339</v>
      </c>
      <c r="AO186">
        <f t="shared" si="36"/>
        <v>178</v>
      </c>
      <c r="AP186">
        <f t="shared" si="37"/>
        <v>37878.700610228603</v>
      </c>
      <c r="AQ186">
        <f t="shared" si="38"/>
        <v>302.46881343181633</v>
      </c>
      <c r="AR186">
        <f t="shared" si="39"/>
        <v>2752.9433274453913</v>
      </c>
      <c r="AS186">
        <f t="shared" si="29"/>
        <v>2450.4745140135751</v>
      </c>
      <c r="AT186">
        <f t="shared" si="40"/>
        <v>247902.61289550833</v>
      </c>
      <c r="AU186">
        <f t="shared" si="41"/>
        <v>242121.29938977124</v>
      </c>
    </row>
    <row r="187" spans="27:47" ht="14.4">
      <c r="AA187">
        <f t="shared" si="30"/>
        <v>179</v>
      </c>
      <c r="AB187">
        <f t="shared" si="31"/>
        <v>222707.99592306072</v>
      </c>
      <c r="AC187">
        <f t="shared" si="32"/>
        <v>1674.6471904504176</v>
      </c>
      <c r="AD187">
        <f t="shared" si="33"/>
        <v>2252.9433274453913</v>
      </c>
      <c r="AE187">
        <f t="shared" si="28"/>
        <v>578.29613699497372</v>
      </c>
      <c r="AF187">
        <f t="shared" si="34"/>
        <v>345984.85153578583</v>
      </c>
      <c r="AG187">
        <f t="shared" si="35"/>
        <v>57292.004076939316</v>
      </c>
      <c r="AO187">
        <f t="shared" si="36"/>
        <v>179</v>
      </c>
      <c r="AP187">
        <f t="shared" si="37"/>
        <v>35409.847537359929</v>
      </c>
      <c r="AQ187">
        <f t="shared" si="38"/>
        <v>284.09025457671453</v>
      </c>
      <c r="AR187">
        <f t="shared" si="39"/>
        <v>2752.9433274453913</v>
      </c>
      <c r="AS187">
        <f t="shared" si="29"/>
        <v>2468.8530728686769</v>
      </c>
      <c r="AT187">
        <f t="shared" si="40"/>
        <v>248186.70315008503</v>
      </c>
      <c r="AU187">
        <f t="shared" si="41"/>
        <v>244590.15246263993</v>
      </c>
    </row>
    <row r="188" spans="27:47" ht="14.4">
      <c r="AA188">
        <f t="shared" si="30"/>
        <v>180</v>
      </c>
      <c r="AB188">
        <f t="shared" si="31"/>
        <v>222125.36256503829</v>
      </c>
      <c r="AC188">
        <f t="shared" si="32"/>
        <v>1670.3099694229554</v>
      </c>
      <c r="AD188">
        <f t="shared" si="33"/>
        <v>2252.9433274453913</v>
      </c>
      <c r="AE188">
        <f t="shared" si="28"/>
        <v>582.63335802243591</v>
      </c>
      <c r="AF188">
        <f t="shared" si="34"/>
        <v>347655.16150520876</v>
      </c>
      <c r="AG188">
        <f t="shared" si="35"/>
        <v>57874.637434961754</v>
      </c>
      <c r="AO188">
        <f t="shared" si="36"/>
        <v>180</v>
      </c>
      <c r="AP188">
        <f t="shared" si="37"/>
        <v>32922.478066444739</v>
      </c>
      <c r="AQ188">
        <f t="shared" si="38"/>
        <v>265.57385653019946</v>
      </c>
      <c r="AR188">
        <f t="shared" si="39"/>
        <v>2752.9433274453913</v>
      </c>
      <c r="AS188">
        <f t="shared" si="29"/>
        <v>2487.3694709151919</v>
      </c>
      <c r="AT188">
        <f t="shared" si="40"/>
        <v>248452.27700661522</v>
      </c>
      <c r="AU188">
        <f t="shared" si="41"/>
        <v>247077.52193355514</v>
      </c>
    </row>
    <row r="189" spans="27:47" ht="14.4">
      <c r="AA189">
        <f t="shared" si="30"/>
        <v>181</v>
      </c>
      <c r="AB189">
        <f t="shared" si="31"/>
        <v>221538.35945683069</v>
      </c>
      <c r="AC189">
        <f t="shared" si="32"/>
        <v>1665.940219237787</v>
      </c>
      <c r="AD189">
        <f t="shared" si="33"/>
        <v>2252.9433274453913</v>
      </c>
      <c r="AE189">
        <f t="shared" si="28"/>
        <v>587.00310820760433</v>
      </c>
      <c r="AF189">
        <f t="shared" si="34"/>
        <v>349321.10172444652</v>
      </c>
      <c r="AG189">
        <f t="shared" si="35"/>
        <v>58461.640543169357</v>
      </c>
      <c r="AO189">
        <f t="shared" si="36"/>
        <v>181</v>
      </c>
      <c r="AP189">
        <f t="shared" si="37"/>
        <v>30416.453324497685</v>
      </c>
      <c r="AQ189">
        <f t="shared" si="38"/>
        <v>246.91858549833555</v>
      </c>
      <c r="AR189">
        <f t="shared" si="39"/>
        <v>2752.9433274453913</v>
      </c>
      <c r="AS189">
        <f t="shared" si="29"/>
        <v>2506.0247419470556</v>
      </c>
      <c r="AT189">
        <f t="shared" si="40"/>
        <v>248699.19559211354</v>
      </c>
      <c r="AU189">
        <f t="shared" si="41"/>
        <v>249583.54667550221</v>
      </c>
    </row>
    <row r="190" spans="27:47" ht="14.4">
      <c r="AA190">
        <f t="shared" si="30"/>
        <v>182</v>
      </c>
      <c r="AB190">
        <f t="shared" si="31"/>
        <v>220946.95382531153</v>
      </c>
      <c r="AC190">
        <f t="shared" si="32"/>
        <v>1661.5376959262301</v>
      </c>
      <c r="AD190">
        <f t="shared" si="33"/>
        <v>2252.9433274453913</v>
      </c>
      <c r="AE190">
        <f t="shared" si="28"/>
        <v>591.40563151916126</v>
      </c>
      <c r="AF190">
        <f t="shared" si="34"/>
        <v>350982.63942037272</v>
      </c>
      <c r="AG190">
        <f t="shared" si="35"/>
        <v>59053.046174688519</v>
      </c>
      <c r="AO190">
        <f t="shared" si="36"/>
        <v>182</v>
      </c>
      <c r="AP190">
        <f t="shared" si="37"/>
        <v>27891.633396986028</v>
      </c>
      <c r="AQ190">
        <f t="shared" si="38"/>
        <v>228.12339993373263</v>
      </c>
      <c r="AR190">
        <f t="shared" si="39"/>
        <v>2752.9433274453913</v>
      </c>
      <c r="AS190">
        <f t="shared" si="29"/>
        <v>2524.8199275116585</v>
      </c>
      <c r="AT190">
        <f t="shared" si="40"/>
        <v>248927.31899204728</v>
      </c>
      <c r="AU190">
        <f t="shared" si="41"/>
        <v>252108.36660301386</v>
      </c>
    </row>
    <row r="191" spans="27:47" ht="14.4">
      <c r="AA191">
        <f t="shared" si="30"/>
        <v>183</v>
      </c>
      <c r="AB191">
        <f t="shared" si="31"/>
        <v>220351.11265155597</v>
      </c>
      <c r="AC191">
        <f t="shared" si="32"/>
        <v>1657.1021536898363</v>
      </c>
      <c r="AD191">
        <f t="shared" si="33"/>
        <v>2252.9433274453913</v>
      </c>
      <c r="AE191">
        <f t="shared" si="28"/>
        <v>595.84117375555502</v>
      </c>
      <c r="AF191">
        <f t="shared" si="34"/>
        <v>352639.74157406256</v>
      </c>
      <c r="AG191">
        <f t="shared" si="35"/>
        <v>59648.887348444077</v>
      </c>
      <c r="AO191">
        <f t="shared" si="36"/>
        <v>183</v>
      </c>
      <c r="AP191">
        <f t="shared" si="37"/>
        <v>25347.877320018033</v>
      </c>
      <c r="AQ191">
        <f t="shared" si="38"/>
        <v>209.1872504773952</v>
      </c>
      <c r="AR191">
        <f t="shared" si="39"/>
        <v>2752.9433274453913</v>
      </c>
      <c r="AS191">
        <f t="shared" si="29"/>
        <v>2543.7560769679963</v>
      </c>
      <c r="AT191">
        <f t="shared" si="40"/>
        <v>249136.50624252469</v>
      </c>
      <c r="AU191">
        <f t="shared" si="41"/>
        <v>254652.12267998184</v>
      </c>
    </row>
    <row r="192" spans="27:47" ht="14.4">
      <c r="AA192">
        <f t="shared" si="30"/>
        <v>184</v>
      </c>
      <c r="AB192">
        <f t="shared" si="31"/>
        <v>219750.80266899726</v>
      </c>
      <c r="AC192">
        <f t="shared" si="32"/>
        <v>1652.6333448866696</v>
      </c>
      <c r="AD192">
        <f t="shared" si="33"/>
        <v>2252.9433274453913</v>
      </c>
      <c r="AE192">
        <f t="shared" si="28"/>
        <v>600.30998255872169</v>
      </c>
      <c r="AF192">
        <f t="shared" si="34"/>
        <v>354292.37491894921</v>
      </c>
      <c r="AG192">
        <f t="shared" si="35"/>
        <v>60249.197331002797</v>
      </c>
      <c r="AO192">
        <f t="shared" si="36"/>
        <v>184</v>
      </c>
      <c r="AP192">
        <f t="shared" si="37"/>
        <v>22785.043072472778</v>
      </c>
      <c r="AQ192">
        <f t="shared" si="38"/>
        <v>190.10907990013524</v>
      </c>
      <c r="AR192">
        <f t="shared" si="39"/>
        <v>2752.9433274453913</v>
      </c>
      <c r="AS192">
        <f t="shared" si="29"/>
        <v>2562.8342475452559</v>
      </c>
      <c r="AT192">
        <f t="shared" si="40"/>
        <v>249326.61532242483</v>
      </c>
      <c r="AU192">
        <f t="shared" si="41"/>
        <v>257214.95692752709</v>
      </c>
    </row>
    <row r="193" spans="27:47" ht="14.4">
      <c r="AA193">
        <f t="shared" si="30"/>
        <v>185</v>
      </c>
      <c r="AB193">
        <f t="shared" si="31"/>
        <v>219145.99036156936</v>
      </c>
      <c r="AC193">
        <f t="shared" si="32"/>
        <v>1648.1310200174794</v>
      </c>
      <c r="AD193">
        <f t="shared" si="33"/>
        <v>2252.9433274453913</v>
      </c>
      <c r="AE193">
        <f t="shared" si="28"/>
        <v>604.81230742791195</v>
      </c>
      <c r="AF193">
        <f t="shared" si="34"/>
        <v>355940.5059389667</v>
      </c>
      <c r="AG193">
        <f t="shared" si="35"/>
        <v>60854.009638430711</v>
      </c>
      <c r="AO193">
        <f t="shared" si="36"/>
        <v>185</v>
      </c>
      <c r="AP193">
        <f t="shared" si="37"/>
        <v>20202.98756807093</v>
      </c>
      <c r="AQ193">
        <f t="shared" si="38"/>
        <v>170.88782304354584</v>
      </c>
      <c r="AR193">
        <f t="shared" si="39"/>
        <v>2752.9433274453913</v>
      </c>
      <c r="AS193">
        <f t="shared" si="29"/>
        <v>2582.0555044018456</v>
      </c>
      <c r="AT193">
        <f t="shared" si="40"/>
        <v>249497.50314546836</v>
      </c>
      <c r="AU193">
        <f t="shared" si="41"/>
        <v>259797.01243192895</v>
      </c>
    </row>
    <row r="194" spans="27:47" ht="14.4">
      <c r="AA194">
        <f t="shared" si="30"/>
        <v>186</v>
      </c>
      <c r="AB194">
        <f t="shared" si="31"/>
        <v>218536.64196183573</v>
      </c>
      <c r="AC194">
        <f t="shared" si="32"/>
        <v>1643.5949277117702</v>
      </c>
      <c r="AD194">
        <f t="shared" si="33"/>
        <v>2252.9433274453913</v>
      </c>
      <c r="AE194">
        <f t="shared" si="28"/>
        <v>609.34839973362114</v>
      </c>
      <c r="AF194">
        <f t="shared" si="34"/>
        <v>357584.10086667846</v>
      </c>
      <c r="AG194">
        <f t="shared" si="35"/>
        <v>61463.358038164333</v>
      </c>
      <c r="AO194">
        <f t="shared" si="36"/>
        <v>186</v>
      </c>
      <c r="AP194">
        <f t="shared" si="37"/>
        <v>17601.566647386069</v>
      </c>
      <c r="AQ194">
        <f t="shared" si="38"/>
        <v>151.52240676053196</v>
      </c>
      <c r="AR194">
        <f t="shared" si="39"/>
        <v>2752.9433274453913</v>
      </c>
      <c r="AS194">
        <f t="shared" si="29"/>
        <v>2601.4209206848595</v>
      </c>
      <c r="AT194">
        <f t="shared" si="40"/>
        <v>249649.02555222891</v>
      </c>
      <c r="AU194">
        <f t="shared" si="41"/>
        <v>262398.43335261382</v>
      </c>
    </row>
    <row r="195" spans="27:47" ht="14.4">
      <c r="AA195">
        <f t="shared" si="30"/>
        <v>187</v>
      </c>
      <c r="AB195">
        <f t="shared" si="31"/>
        <v>217922.72344910412</v>
      </c>
      <c r="AC195">
        <f t="shared" si="32"/>
        <v>1639.0248147137679</v>
      </c>
      <c r="AD195">
        <f t="shared" si="33"/>
        <v>2252.9433274453913</v>
      </c>
      <c r="AE195">
        <f t="shared" si="28"/>
        <v>613.91851273162342</v>
      </c>
      <c r="AF195">
        <f t="shared" si="34"/>
        <v>359223.12568139221</v>
      </c>
      <c r="AG195">
        <f t="shared" si="35"/>
        <v>62077.276550895956</v>
      </c>
      <c r="AO195">
        <f t="shared" si="36"/>
        <v>187</v>
      </c>
      <c r="AP195">
        <f t="shared" si="37"/>
        <v>14980.635069796073</v>
      </c>
      <c r="AQ195">
        <f t="shared" si="38"/>
        <v>132.01174985539552</v>
      </c>
      <c r="AR195">
        <f t="shared" si="39"/>
        <v>2752.9433274453913</v>
      </c>
      <c r="AS195">
        <f t="shared" si="29"/>
        <v>2620.9315775899959</v>
      </c>
      <c r="AT195">
        <f t="shared" si="40"/>
        <v>249781.0373020843</v>
      </c>
      <c r="AU195">
        <f t="shared" si="41"/>
        <v>265019.36493020382</v>
      </c>
    </row>
    <row r="196" spans="27:47" ht="14.4">
      <c r="AA196">
        <f t="shared" si="30"/>
        <v>188</v>
      </c>
      <c r="AB196">
        <f t="shared" si="31"/>
        <v>217304.200547527</v>
      </c>
      <c r="AC196">
        <f t="shared" si="32"/>
        <v>1634.4204258682807</v>
      </c>
      <c r="AD196">
        <f t="shared" si="33"/>
        <v>2252.9433274453913</v>
      </c>
      <c r="AE196">
        <f t="shared" si="28"/>
        <v>618.52290157711059</v>
      </c>
      <c r="AF196">
        <f t="shared" si="34"/>
        <v>360857.54610726051</v>
      </c>
      <c r="AG196">
        <f t="shared" si="35"/>
        <v>62695.799452473068</v>
      </c>
      <c r="AO196">
        <f t="shared" si="36"/>
        <v>188</v>
      </c>
      <c r="AP196">
        <f t="shared" si="37"/>
        <v>12340.046505374154</v>
      </c>
      <c r="AQ196">
        <f t="shared" si="38"/>
        <v>112.35476302347054</v>
      </c>
      <c r="AR196">
        <f t="shared" si="39"/>
        <v>2752.9433274453913</v>
      </c>
      <c r="AS196">
        <f t="shared" si="29"/>
        <v>2640.5885644219206</v>
      </c>
      <c r="AT196">
        <f t="shared" si="40"/>
        <v>249893.39206510776</v>
      </c>
      <c r="AU196">
        <f t="shared" si="41"/>
        <v>267659.95349462575</v>
      </c>
    </row>
    <row r="197" spans="27:47" ht="14.4">
      <c r="AA197">
        <f t="shared" si="30"/>
        <v>189</v>
      </c>
      <c r="AB197">
        <f t="shared" si="31"/>
        <v>216681.03872418805</v>
      </c>
      <c r="AC197">
        <f t="shared" si="32"/>
        <v>1629.7815041064525</v>
      </c>
      <c r="AD197">
        <f t="shared" si="33"/>
        <v>2252.9433274453913</v>
      </c>
      <c r="AE197">
        <f t="shared" si="28"/>
        <v>623.1618233389388</v>
      </c>
      <c r="AF197">
        <f t="shared" si="34"/>
        <v>362487.32761136699</v>
      </c>
      <c r="AG197">
        <f t="shared" si="35"/>
        <v>63318.961275812006</v>
      </c>
      <c r="AO197">
        <f t="shared" si="36"/>
        <v>189</v>
      </c>
      <c r="AP197">
        <f t="shared" si="37"/>
        <v>9679.6535267190684</v>
      </c>
      <c r="AQ197">
        <f t="shared" si="38"/>
        <v>92.550348790306145</v>
      </c>
      <c r="AR197">
        <f t="shared" si="39"/>
        <v>2752.9433274453913</v>
      </c>
      <c r="AS197">
        <f t="shared" si="29"/>
        <v>2660.3929786550852</v>
      </c>
      <c r="AT197">
        <f t="shared" si="40"/>
        <v>249985.94241389807</v>
      </c>
      <c r="AU197">
        <f t="shared" si="41"/>
        <v>270320.34647328081</v>
      </c>
    </row>
    <row r="198" spans="27:47" ht="14.4">
      <c r="AA198">
        <f t="shared" si="30"/>
        <v>190</v>
      </c>
      <c r="AB198">
        <f t="shared" si="31"/>
        <v>216053.20318717408</v>
      </c>
      <c r="AC198">
        <f t="shared" si="32"/>
        <v>1625.1077904314104</v>
      </c>
      <c r="AD198">
        <f t="shared" si="33"/>
        <v>2252.9433274453913</v>
      </c>
      <c r="AE198">
        <f t="shared" si="28"/>
        <v>627.83553701398091</v>
      </c>
      <c r="AF198">
        <f t="shared" si="34"/>
        <v>364112.4354017984</v>
      </c>
      <c r="AG198">
        <f t="shared" si="35"/>
        <v>63946.796812825989</v>
      </c>
      <c r="AO198">
        <f t="shared" si="36"/>
        <v>190</v>
      </c>
      <c r="AP198">
        <f t="shared" si="37"/>
        <v>6999.3076007240707</v>
      </c>
      <c r="AQ198">
        <f t="shared" si="38"/>
        <v>72.597401450393008</v>
      </c>
      <c r="AR198">
        <f t="shared" si="39"/>
        <v>2752.9433274453913</v>
      </c>
      <c r="AS198">
        <f t="shared" si="29"/>
        <v>2680.3459259949982</v>
      </c>
      <c r="AT198">
        <f t="shared" si="40"/>
        <v>250058.53981534846</v>
      </c>
      <c r="AU198">
        <f t="shared" si="41"/>
        <v>273000.69239927578</v>
      </c>
    </row>
    <row r="199" spans="27:47" ht="14.4">
      <c r="AA199">
        <f t="shared" si="30"/>
        <v>191</v>
      </c>
      <c r="AB199">
        <f t="shared" si="31"/>
        <v>215420.65888363248</v>
      </c>
      <c r="AC199">
        <f t="shared" si="32"/>
        <v>1620.3990239038055</v>
      </c>
      <c r="AD199">
        <f t="shared" si="33"/>
        <v>2252.9433274453913</v>
      </c>
      <c r="AE199">
        <f t="shared" si="28"/>
        <v>632.5443035415858</v>
      </c>
      <c r="AF199">
        <f t="shared" si="34"/>
        <v>365732.83442570223</v>
      </c>
      <c r="AG199">
        <f t="shared" si="35"/>
        <v>64579.341116367577</v>
      </c>
      <c r="AO199">
        <f t="shared" si="36"/>
        <v>191</v>
      </c>
      <c r="AP199">
        <f t="shared" si="37"/>
        <v>4298.85908028411</v>
      </c>
      <c r="AQ199">
        <f t="shared" si="38"/>
        <v>52.49480700543053</v>
      </c>
      <c r="AR199">
        <f t="shared" si="39"/>
        <v>2752.9433274453913</v>
      </c>
      <c r="AS199">
        <f t="shared" si="29"/>
        <v>2700.4485204399607</v>
      </c>
      <c r="AT199">
        <f t="shared" si="40"/>
        <v>250111.03462235388</v>
      </c>
      <c r="AU199">
        <f t="shared" si="41"/>
        <v>275701.14091971575</v>
      </c>
    </row>
    <row r="200" spans="27:47" ht="14.4">
      <c r="AA200">
        <f t="shared" si="30"/>
        <v>192</v>
      </c>
      <c r="AB200">
        <f t="shared" si="31"/>
        <v>214783.37049781432</v>
      </c>
      <c r="AC200">
        <f t="shared" si="32"/>
        <v>1615.6549416272435</v>
      </c>
      <c r="AD200">
        <f t="shared" si="33"/>
        <v>2252.9433274453913</v>
      </c>
      <c r="AE200">
        <f t="shared" si="28"/>
        <v>637.28838581814784</v>
      </c>
      <c r="AF200">
        <f t="shared" si="34"/>
        <v>367348.48936732946</v>
      </c>
      <c r="AG200">
        <f t="shared" si="35"/>
        <v>65216.629502185722</v>
      </c>
      <c r="AO200">
        <f t="shared" si="36"/>
        <v>192</v>
      </c>
      <c r="AP200">
        <f t="shared" si="37"/>
        <v>1578.1571959408493</v>
      </c>
      <c r="AQ200">
        <f t="shared" si="38"/>
        <v>32.241443102130823</v>
      </c>
      <c r="AR200">
        <f t="shared" si="39"/>
        <v>2752.9433274453913</v>
      </c>
      <c r="AS200">
        <f t="shared" si="29"/>
        <v>2720.7018843432606</v>
      </c>
      <c r="AT200">
        <f t="shared" si="40"/>
        <v>250143.27606545601</v>
      </c>
      <c r="AU200">
        <f t="shared" si="41"/>
        <v>278421.84280405904</v>
      </c>
    </row>
    <row r="201" spans="27:47" ht="14.4">
      <c r="AA201">
        <f t="shared" si="30"/>
        <v>193</v>
      </c>
      <c r="AB201">
        <f t="shared" si="31"/>
        <v>214141.30244910254</v>
      </c>
      <c r="AC201">
        <f t="shared" si="32"/>
        <v>1610.8752787336073</v>
      </c>
      <c r="AD201">
        <f t="shared" si="33"/>
        <v>2252.9433274453913</v>
      </c>
      <c r="AE201">
        <f t="shared" ref="AE201:AE264" si="42">MAX(0,AD201-AC201)</f>
        <v>642.06804871178406</v>
      </c>
      <c r="AF201">
        <f t="shared" si="34"/>
        <v>368959.36464606307</v>
      </c>
      <c r="AG201">
        <f t="shared" si="35"/>
        <v>65858.697550897501</v>
      </c>
      <c r="AO201">
        <f t="shared" si="36"/>
        <v>193</v>
      </c>
      <c r="AP201">
        <f t="shared" si="37"/>
        <v>0</v>
      </c>
      <c r="AQ201">
        <f t="shared" si="38"/>
        <v>11.83617896955637</v>
      </c>
      <c r="AR201">
        <f t="shared" si="39"/>
        <v>1589.9933749104057</v>
      </c>
      <c r="AS201">
        <f t="shared" ref="AS201:AS264" si="43">MAX(0,AR201-AQ201)</f>
        <v>1578.1571959408493</v>
      </c>
      <c r="AT201">
        <f t="shared" si="40"/>
        <v>250155.11224442557</v>
      </c>
      <c r="AU201">
        <f t="shared" si="41"/>
        <v>279999.99999999988</v>
      </c>
    </row>
    <row r="202" spans="27:47" ht="14.4">
      <c r="AA202">
        <f t="shared" ref="AA202:AA265" si="44">AA201+1</f>
        <v>194</v>
      </c>
      <c r="AB202">
        <f t="shared" ref="AB202:AB265" si="45">MAX(0,AB201-AE202)</f>
        <v>213494.41889002541</v>
      </c>
      <c r="AC202">
        <f t="shared" ref="AC202:AC265" si="46">IF(AB201&lt;=0,0,AB201*$AA$6)</f>
        <v>1606.059768368269</v>
      </c>
      <c r="AD202">
        <f t="shared" ref="AD202:AD265" si="47">IF(AB201&lt;=0,0,MIN($AC$6,AB201+AC202))</f>
        <v>2252.9433274453913</v>
      </c>
      <c r="AE202">
        <f t="shared" si="42"/>
        <v>646.8835590771223</v>
      </c>
      <c r="AF202">
        <f t="shared" ref="AF202:AF265" si="48">AF201+AC202</f>
        <v>370565.42441443133</v>
      </c>
      <c r="AG202">
        <f t="shared" ref="AG202:AG265" si="49">AG201+AE202</f>
        <v>66505.581109974621</v>
      </c>
      <c r="AO202">
        <f t="shared" ref="AO202:AO265" si="50">AO201+1</f>
        <v>194</v>
      </c>
      <c r="AP202">
        <f t="shared" ref="AP202:AP265" si="51">MAX(0,AP201-AS202)</f>
        <v>0</v>
      </c>
      <c r="AQ202">
        <f t="shared" ref="AQ202:AQ265" si="52">IF(AP201&lt;=0,0,AP201*$AA$6)</f>
        <v>0</v>
      </c>
      <c r="AR202">
        <f t="shared" ref="AR202:AR265" si="53">IF(AP201&lt;=0,0,MIN($AD$6,AP201+AQ202))</f>
        <v>0</v>
      </c>
      <c r="AS202">
        <f t="shared" si="43"/>
        <v>0</v>
      </c>
      <c r="AT202">
        <f t="shared" ref="AT202:AT265" si="54">AT201+AQ202</f>
        <v>250155.11224442557</v>
      </c>
      <c r="AU202">
        <f t="shared" ref="AU202:AU265" si="55">AU201+AS202</f>
        <v>279999.99999999988</v>
      </c>
    </row>
    <row r="203" spans="27:47" ht="14.4">
      <c r="AA203">
        <f t="shared" si="44"/>
        <v>195</v>
      </c>
      <c r="AB203">
        <f t="shared" si="45"/>
        <v>212842.68370425521</v>
      </c>
      <c r="AC203">
        <f t="shared" si="46"/>
        <v>1601.2081416751905</v>
      </c>
      <c r="AD203">
        <f t="shared" si="47"/>
        <v>2252.9433274453913</v>
      </c>
      <c r="AE203">
        <f t="shared" si="42"/>
        <v>651.73518577020081</v>
      </c>
      <c r="AF203">
        <f t="shared" si="48"/>
        <v>372166.63255610655</v>
      </c>
      <c r="AG203">
        <f t="shared" si="49"/>
        <v>67157.316295744822</v>
      </c>
      <c r="AO203">
        <f t="shared" si="50"/>
        <v>195</v>
      </c>
      <c r="AP203">
        <f t="shared" si="51"/>
        <v>0</v>
      </c>
      <c r="AQ203">
        <f t="shared" si="52"/>
        <v>0</v>
      </c>
      <c r="AR203">
        <f t="shared" si="53"/>
        <v>0</v>
      </c>
      <c r="AS203">
        <f t="shared" si="43"/>
        <v>0</v>
      </c>
      <c r="AT203">
        <f t="shared" si="54"/>
        <v>250155.11224442557</v>
      </c>
      <c r="AU203">
        <f t="shared" si="55"/>
        <v>279999.99999999988</v>
      </c>
    </row>
    <row r="204" spans="27:47" ht="14.4">
      <c r="AA204">
        <f t="shared" si="44"/>
        <v>196</v>
      </c>
      <c r="AB204">
        <f t="shared" si="45"/>
        <v>212186.06050459173</v>
      </c>
      <c r="AC204">
        <f t="shared" si="46"/>
        <v>1596.3201277819139</v>
      </c>
      <c r="AD204">
        <f t="shared" si="47"/>
        <v>2252.9433274453913</v>
      </c>
      <c r="AE204">
        <f t="shared" si="42"/>
        <v>656.62319966347741</v>
      </c>
      <c r="AF204">
        <f t="shared" si="48"/>
        <v>373762.95268388843</v>
      </c>
      <c r="AG204">
        <f t="shared" si="49"/>
        <v>67813.939495408296</v>
      </c>
      <c r="AO204">
        <f t="shared" si="50"/>
        <v>196</v>
      </c>
      <c r="AP204">
        <f t="shared" si="51"/>
        <v>0</v>
      </c>
      <c r="AQ204">
        <f t="shared" si="52"/>
        <v>0</v>
      </c>
      <c r="AR204">
        <f t="shared" si="53"/>
        <v>0</v>
      </c>
      <c r="AS204">
        <f t="shared" si="43"/>
        <v>0</v>
      </c>
      <c r="AT204">
        <f t="shared" si="54"/>
        <v>250155.11224442557</v>
      </c>
      <c r="AU204">
        <f t="shared" si="55"/>
        <v>279999.99999999988</v>
      </c>
    </row>
    <row r="205" spans="27:47" ht="14.4">
      <c r="AA205">
        <f t="shared" si="44"/>
        <v>197</v>
      </c>
      <c r="AB205">
        <f t="shared" si="45"/>
        <v>211524.51263093078</v>
      </c>
      <c r="AC205">
        <f t="shared" si="46"/>
        <v>1591.3954537844379</v>
      </c>
      <c r="AD205">
        <f t="shared" si="47"/>
        <v>2252.9433274453913</v>
      </c>
      <c r="AE205">
        <f t="shared" si="42"/>
        <v>661.54787366095343</v>
      </c>
      <c r="AF205">
        <f t="shared" si="48"/>
        <v>375354.34813767287</v>
      </c>
      <c r="AG205">
        <f t="shared" si="49"/>
        <v>68475.487369069248</v>
      </c>
      <c r="AO205">
        <f t="shared" si="50"/>
        <v>197</v>
      </c>
      <c r="AP205">
        <f t="shared" si="51"/>
        <v>0</v>
      </c>
      <c r="AQ205">
        <f t="shared" si="52"/>
        <v>0</v>
      </c>
      <c r="AR205">
        <f t="shared" si="53"/>
        <v>0</v>
      </c>
      <c r="AS205">
        <f t="shared" si="43"/>
        <v>0</v>
      </c>
      <c r="AT205">
        <f t="shared" si="54"/>
        <v>250155.11224442557</v>
      </c>
      <c r="AU205">
        <f t="shared" si="55"/>
        <v>279999.99999999988</v>
      </c>
    </row>
    <row r="206" spans="27:47" ht="14.4">
      <c r="AA206">
        <f t="shared" si="44"/>
        <v>198</v>
      </c>
      <c r="AB206">
        <f t="shared" si="45"/>
        <v>210858.00314821737</v>
      </c>
      <c r="AC206">
        <f t="shared" si="46"/>
        <v>1586.4338447319808</v>
      </c>
      <c r="AD206">
        <f t="shared" si="47"/>
        <v>2252.9433274453913</v>
      </c>
      <c r="AE206">
        <f t="shared" si="42"/>
        <v>666.50948271341053</v>
      </c>
      <c r="AF206">
        <f t="shared" si="48"/>
        <v>376940.78198240488</v>
      </c>
      <c r="AG206">
        <f t="shared" si="49"/>
        <v>69141.996851782664</v>
      </c>
      <c r="AO206">
        <f t="shared" si="50"/>
        <v>198</v>
      </c>
      <c r="AP206">
        <f t="shared" si="51"/>
        <v>0</v>
      </c>
      <c r="AQ206">
        <f t="shared" si="52"/>
        <v>0</v>
      </c>
      <c r="AR206">
        <f t="shared" si="53"/>
        <v>0</v>
      </c>
      <c r="AS206">
        <f t="shared" si="43"/>
        <v>0</v>
      </c>
      <c r="AT206">
        <f t="shared" si="54"/>
        <v>250155.11224442557</v>
      </c>
      <c r="AU206">
        <f t="shared" si="55"/>
        <v>279999.99999999988</v>
      </c>
    </row>
    <row r="207" spans="27:47" ht="14.4">
      <c r="AA207">
        <f t="shared" si="44"/>
        <v>199</v>
      </c>
      <c r="AB207">
        <f t="shared" si="45"/>
        <v>210186.49484438362</v>
      </c>
      <c r="AC207">
        <f t="shared" si="46"/>
        <v>1581.4350236116302</v>
      </c>
      <c r="AD207">
        <f t="shared" si="47"/>
        <v>2252.9433274453913</v>
      </c>
      <c r="AE207">
        <f t="shared" si="42"/>
        <v>671.50830383376115</v>
      </c>
      <c r="AF207">
        <f t="shared" si="48"/>
        <v>378522.21700601652</v>
      </c>
      <c r="AG207">
        <f t="shared" si="49"/>
        <v>69813.505155616425</v>
      </c>
      <c r="AO207">
        <f t="shared" si="50"/>
        <v>199</v>
      </c>
      <c r="AP207">
        <f t="shared" si="51"/>
        <v>0</v>
      </c>
      <c r="AQ207">
        <f t="shared" si="52"/>
        <v>0</v>
      </c>
      <c r="AR207">
        <f t="shared" si="53"/>
        <v>0</v>
      </c>
      <c r="AS207">
        <f t="shared" si="43"/>
        <v>0</v>
      </c>
      <c r="AT207">
        <f t="shared" si="54"/>
        <v>250155.11224442557</v>
      </c>
      <c r="AU207">
        <f t="shared" si="55"/>
        <v>279999.99999999988</v>
      </c>
    </row>
    <row r="208" spans="27:47" ht="14.4">
      <c r="AA208">
        <f t="shared" si="44"/>
        <v>200</v>
      </c>
      <c r="AB208">
        <f t="shared" si="45"/>
        <v>209509.9502282711</v>
      </c>
      <c r="AC208">
        <f t="shared" si="46"/>
        <v>1576.3987113328772</v>
      </c>
      <c r="AD208">
        <f t="shared" si="47"/>
        <v>2252.9433274453913</v>
      </c>
      <c r="AE208">
        <f t="shared" si="42"/>
        <v>676.54461611251418</v>
      </c>
      <c r="AF208">
        <f t="shared" si="48"/>
        <v>380098.6157173494</v>
      </c>
      <c r="AG208">
        <f t="shared" si="49"/>
        <v>70490.04977172894</v>
      </c>
      <c r="AO208">
        <f t="shared" si="50"/>
        <v>200</v>
      </c>
      <c r="AP208">
        <f t="shared" si="51"/>
        <v>0</v>
      </c>
      <c r="AQ208">
        <f t="shared" si="52"/>
        <v>0</v>
      </c>
      <c r="AR208">
        <f t="shared" si="53"/>
        <v>0</v>
      </c>
      <c r="AS208">
        <f t="shared" si="43"/>
        <v>0</v>
      </c>
      <c r="AT208">
        <f t="shared" si="54"/>
        <v>250155.11224442557</v>
      </c>
      <c r="AU208">
        <f t="shared" si="55"/>
        <v>279999.99999999988</v>
      </c>
    </row>
    <row r="209" spans="27:47" ht="14.4">
      <c r="AA209">
        <f t="shared" si="44"/>
        <v>201</v>
      </c>
      <c r="AB209">
        <f t="shared" si="45"/>
        <v>208828.33152753775</v>
      </c>
      <c r="AC209">
        <f t="shared" si="46"/>
        <v>1571.3246267120333</v>
      </c>
      <c r="AD209">
        <f t="shared" si="47"/>
        <v>2252.9433274453913</v>
      </c>
      <c r="AE209">
        <f t="shared" si="42"/>
        <v>681.61870073335808</v>
      </c>
      <c r="AF209">
        <f t="shared" si="48"/>
        <v>381669.94034406141</v>
      </c>
      <c r="AG209">
        <f t="shared" si="49"/>
        <v>71171.668472462305</v>
      </c>
      <c r="AO209">
        <f t="shared" si="50"/>
        <v>201</v>
      </c>
      <c r="AP209">
        <f t="shared" si="51"/>
        <v>0</v>
      </c>
      <c r="AQ209">
        <f t="shared" si="52"/>
        <v>0</v>
      </c>
      <c r="AR209">
        <f t="shared" si="53"/>
        <v>0</v>
      </c>
      <c r="AS209">
        <f t="shared" si="43"/>
        <v>0</v>
      </c>
      <c r="AT209">
        <f t="shared" si="54"/>
        <v>250155.11224442557</v>
      </c>
      <c r="AU209">
        <f t="shared" si="55"/>
        <v>279999.99999999988</v>
      </c>
    </row>
    <row r="210" spans="27:47" ht="14.4">
      <c r="AA210">
        <f t="shared" si="44"/>
        <v>202</v>
      </c>
      <c r="AB210">
        <f t="shared" si="45"/>
        <v>208141.60068654889</v>
      </c>
      <c r="AC210">
        <f t="shared" si="46"/>
        <v>1566.212486456533</v>
      </c>
      <c r="AD210">
        <f t="shared" si="47"/>
        <v>2252.9433274453913</v>
      </c>
      <c r="AE210">
        <f t="shared" si="42"/>
        <v>686.73084098885829</v>
      </c>
      <c r="AF210">
        <f t="shared" si="48"/>
        <v>383236.15283051797</v>
      </c>
      <c r="AG210">
        <f t="shared" si="49"/>
        <v>71858.399313451169</v>
      </c>
      <c r="AO210">
        <f t="shared" si="50"/>
        <v>202</v>
      </c>
      <c r="AP210">
        <f t="shared" si="51"/>
        <v>0</v>
      </c>
      <c r="AQ210">
        <f t="shared" si="52"/>
        <v>0</v>
      </c>
      <c r="AR210">
        <f t="shared" si="53"/>
        <v>0</v>
      </c>
      <c r="AS210">
        <f t="shared" si="43"/>
        <v>0</v>
      </c>
      <c r="AT210">
        <f t="shared" si="54"/>
        <v>250155.11224442557</v>
      </c>
      <c r="AU210">
        <f t="shared" si="55"/>
        <v>279999.99999999988</v>
      </c>
    </row>
    <row r="211" spans="27:47" ht="14.4">
      <c r="AA211">
        <f t="shared" si="44"/>
        <v>203</v>
      </c>
      <c r="AB211">
        <f t="shared" si="45"/>
        <v>207449.71936425261</v>
      </c>
      <c r="AC211">
        <f t="shared" si="46"/>
        <v>1561.0620051491167</v>
      </c>
      <c r="AD211">
        <f t="shared" si="47"/>
        <v>2252.9433274453913</v>
      </c>
      <c r="AE211">
        <f t="shared" si="42"/>
        <v>691.88132229627467</v>
      </c>
      <c r="AF211">
        <f t="shared" si="48"/>
        <v>384797.21483566711</v>
      </c>
      <c r="AG211">
        <f t="shared" si="49"/>
        <v>72550.280635747447</v>
      </c>
      <c r="AO211">
        <f t="shared" si="50"/>
        <v>203</v>
      </c>
      <c r="AP211">
        <f t="shared" si="51"/>
        <v>0</v>
      </c>
      <c r="AQ211">
        <f t="shared" si="52"/>
        <v>0</v>
      </c>
      <c r="AR211">
        <f t="shared" si="53"/>
        <v>0</v>
      </c>
      <c r="AS211">
        <f t="shared" si="43"/>
        <v>0</v>
      </c>
      <c r="AT211">
        <f t="shared" si="54"/>
        <v>250155.11224442557</v>
      </c>
      <c r="AU211">
        <f t="shared" si="55"/>
        <v>279999.99999999988</v>
      </c>
    </row>
    <row r="212" spans="27:47" ht="14.4">
      <c r="AA212">
        <f t="shared" si="44"/>
        <v>204</v>
      </c>
      <c r="AB212">
        <f t="shared" si="45"/>
        <v>206752.64893203913</v>
      </c>
      <c r="AC212">
        <f t="shared" si="46"/>
        <v>1555.8728952318945</v>
      </c>
      <c r="AD212">
        <f t="shared" si="47"/>
        <v>2252.9433274453913</v>
      </c>
      <c r="AE212">
        <f t="shared" si="42"/>
        <v>697.07043221349682</v>
      </c>
      <c r="AF212">
        <f t="shared" si="48"/>
        <v>386353.08773089899</v>
      </c>
      <c r="AG212">
        <f t="shared" si="49"/>
        <v>73247.351067960946</v>
      </c>
      <c r="AO212">
        <f t="shared" si="50"/>
        <v>204</v>
      </c>
      <c r="AP212">
        <f t="shared" si="51"/>
        <v>0</v>
      </c>
      <c r="AQ212">
        <f t="shared" si="52"/>
        <v>0</v>
      </c>
      <c r="AR212">
        <f t="shared" si="53"/>
        <v>0</v>
      </c>
      <c r="AS212">
        <f t="shared" si="43"/>
        <v>0</v>
      </c>
      <c r="AT212">
        <f t="shared" si="54"/>
        <v>250155.11224442557</v>
      </c>
      <c r="AU212">
        <f t="shared" si="55"/>
        <v>279999.99999999988</v>
      </c>
    </row>
    <row r="213" spans="27:47" ht="14.4">
      <c r="AA213">
        <f t="shared" si="44"/>
        <v>205</v>
      </c>
      <c r="AB213">
        <f t="shared" si="45"/>
        <v>206050.35047158404</v>
      </c>
      <c r="AC213">
        <f t="shared" si="46"/>
        <v>1550.6448669902934</v>
      </c>
      <c r="AD213">
        <f t="shared" si="47"/>
        <v>2252.9433274453913</v>
      </c>
      <c r="AE213">
        <f t="shared" si="42"/>
        <v>702.29846045509794</v>
      </c>
      <c r="AF213">
        <f t="shared" si="48"/>
        <v>387903.73259788926</v>
      </c>
      <c r="AG213">
        <f t="shared" si="49"/>
        <v>73949.649528416048</v>
      </c>
      <c r="AO213">
        <f t="shared" si="50"/>
        <v>205</v>
      </c>
      <c r="AP213">
        <f t="shared" si="51"/>
        <v>0</v>
      </c>
      <c r="AQ213">
        <f t="shared" si="52"/>
        <v>0</v>
      </c>
      <c r="AR213">
        <f t="shared" si="53"/>
        <v>0</v>
      </c>
      <c r="AS213">
        <f t="shared" si="43"/>
        <v>0</v>
      </c>
      <c r="AT213">
        <f t="shared" si="54"/>
        <v>250155.11224442557</v>
      </c>
      <c r="AU213">
        <f t="shared" si="55"/>
        <v>279999.99999999988</v>
      </c>
    </row>
    <row r="214" spans="27:47" ht="14.4">
      <c r="AA214">
        <f t="shared" si="44"/>
        <v>206</v>
      </c>
      <c r="AB214">
        <f t="shared" si="45"/>
        <v>205342.78477267551</v>
      </c>
      <c r="AC214">
        <f t="shared" si="46"/>
        <v>1545.3776285368801</v>
      </c>
      <c r="AD214">
        <f t="shared" si="47"/>
        <v>2252.9433274453913</v>
      </c>
      <c r="AE214">
        <f t="shared" si="42"/>
        <v>707.56569890851119</v>
      </c>
      <c r="AF214">
        <f t="shared" si="48"/>
        <v>389449.11022642616</v>
      </c>
      <c r="AG214">
        <f t="shared" si="49"/>
        <v>74657.215227324559</v>
      </c>
      <c r="AO214">
        <f t="shared" si="50"/>
        <v>206</v>
      </c>
      <c r="AP214">
        <f t="shared" si="51"/>
        <v>0</v>
      </c>
      <c r="AQ214">
        <f t="shared" si="52"/>
        <v>0</v>
      </c>
      <c r="AR214">
        <f t="shared" si="53"/>
        <v>0</v>
      </c>
      <c r="AS214">
        <f t="shared" si="43"/>
        <v>0</v>
      </c>
      <c r="AT214">
        <f t="shared" si="54"/>
        <v>250155.11224442557</v>
      </c>
      <c r="AU214">
        <f t="shared" si="55"/>
        <v>279999.99999999988</v>
      </c>
    </row>
    <row r="215" spans="27:47" ht="14.4">
      <c r="AA215">
        <f t="shared" si="44"/>
        <v>207</v>
      </c>
      <c r="AB215">
        <f t="shared" si="45"/>
        <v>204629.91233102517</v>
      </c>
      <c r="AC215">
        <f t="shared" si="46"/>
        <v>1540.0708857950663</v>
      </c>
      <c r="AD215">
        <f t="shared" si="47"/>
        <v>2252.9433274453913</v>
      </c>
      <c r="AE215">
        <f t="shared" si="42"/>
        <v>712.87244165032507</v>
      </c>
      <c r="AF215">
        <f t="shared" si="48"/>
        <v>390989.18111222121</v>
      </c>
      <c r="AG215">
        <f t="shared" si="49"/>
        <v>75370.087668974884</v>
      </c>
      <c r="AO215">
        <f t="shared" si="50"/>
        <v>207</v>
      </c>
      <c r="AP215">
        <f t="shared" si="51"/>
        <v>0</v>
      </c>
      <c r="AQ215">
        <f t="shared" si="52"/>
        <v>0</v>
      </c>
      <c r="AR215">
        <f t="shared" si="53"/>
        <v>0</v>
      </c>
      <c r="AS215">
        <f t="shared" si="43"/>
        <v>0</v>
      </c>
      <c r="AT215">
        <f t="shared" si="54"/>
        <v>250155.11224442557</v>
      </c>
      <c r="AU215">
        <f t="shared" si="55"/>
        <v>279999.99999999988</v>
      </c>
    </row>
    <row r="216" spans="27:47" ht="14.4">
      <c r="AA216">
        <f t="shared" si="44"/>
        <v>208</v>
      </c>
      <c r="AB216">
        <f t="shared" si="45"/>
        <v>203911.69334606247</v>
      </c>
      <c r="AC216">
        <f t="shared" si="46"/>
        <v>1534.7243424826888</v>
      </c>
      <c r="AD216">
        <f t="shared" si="47"/>
        <v>2252.9433274453913</v>
      </c>
      <c r="AE216">
        <f t="shared" si="42"/>
        <v>718.21898496270251</v>
      </c>
      <c r="AF216">
        <f t="shared" si="48"/>
        <v>392523.9054547039</v>
      </c>
      <c r="AG216">
        <f t="shared" si="49"/>
        <v>76088.306653937587</v>
      </c>
      <c r="AO216">
        <f t="shared" si="50"/>
        <v>208</v>
      </c>
      <c r="AP216">
        <f t="shared" si="51"/>
        <v>0</v>
      </c>
      <c r="AQ216">
        <f t="shared" si="52"/>
        <v>0</v>
      </c>
      <c r="AR216">
        <f t="shared" si="53"/>
        <v>0</v>
      </c>
      <c r="AS216">
        <f t="shared" si="43"/>
        <v>0</v>
      </c>
      <c r="AT216">
        <f t="shared" si="54"/>
        <v>250155.11224442557</v>
      </c>
      <c r="AU216">
        <f t="shared" si="55"/>
        <v>279999.99999999988</v>
      </c>
    </row>
    <row r="217" spans="27:47" ht="14.4">
      <c r="AA217">
        <f t="shared" si="44"/>
        <v>209</v>
      </c>
      <c r="AB217">
        <f t="shared" si="45"/>
        <v>203188.08771871254</v>
      </c>
      <c r="AC217">
        <f t="shared" si="46"/>
        <v>1529.3377000954686</v>
      </c>
      <c r="AD217">
        <f t="shared" si="47"/>
        <v>2252.9433274453913</v>
      </c>
      <c r="AE217">
        <f t="shared" si="42"/>
        <v>723.60562734992277</v>
      </c>
      <c r="AF217">
        <f t="shared" si="48"/>
        <v>394053.24315479939</v>
      </c>
      <c r="AG217">
        <f t="shared" si="49"/>
        <v>76811.912281287514</v>
      </c>
      <c r="AO217">
        <f t="shared" si="50"/>
        <v>209</v>
      </c>
      <c r="AP217">
        <f t="shared" si="51"/>
        <v>0</v>
      </c>
      <c r="AQ217">
        <f t="shared" si="52"/>
        <v>0</v>
      </c>
      <c r="AR217">
        <f t="shared" si="53"/>
        <v>0</v>
      </c>
      <c r="AS217">
        <f t="shared" si="43"/>
        <v>0</v>
      </c>
      <c r="AT217">
        <f t="shared" si="54"/>
        <v>250155.11224442557</v>
      </c>
      <c r="AU217">
        <f t="shared" si="55"/>
        <v>279999.99999999988</v>
      </c>
    </row>
    <row r="218" spans="27:47" ht="14.4">
      <c r="AA218">
        <f t="shared" si="44"/>
        <v>210</v>
      </c>
      <c r="AB218">
        <f t="shared" si="45"/>
        <v>202459.0550491575</v>
      </c>
      <c r="AC218">
        <f t="shared" si="46"/>
        <v>1523.9106578903441</v>
      </c>
      <c r="AD218">
        <f t="shared" si="47"/>
        <v>2252.9433274453913</v>
      </c>
      <c r="AE218">
        <f t="shared" si="42"/>
        <v>729.03266955504728</v>
      </c>
      <c r="AF218">
        <f t="shared" si="48"/>
        <v>395577.15381268971</v>
      </c>
      <c r="AG218">
        <f t="shared" si="49"/>
        <v>77540.944950842561</v>
      </c>
      <c r="AO218">
        <f t="shared" si="50"/>
        <v>210</v>
      </c>
      <c r="AP218">
        <f t="shared" si="51"/>
        <v>0</v>
      </c>
      <c r="AQ218">
        <f t="shared" si="52"/>
        <v>0</v>
      </c>
      <c r="AR218">
        <f t="shared" si="53"/>
        <v>0</v>
      </c>
      <c r="AS218">
        <f t="shared" si="43"/>
        <v>0</v>
      </c>
      <c r="AT218">
        <f t="shared" si="54"/>
        <v>250155.11224442557</v>
      </c>
      <c r="AU218">
        <f t="shared" si="55"/>
        <v>279999.99999999988</v>
      </c>
    </row>
    <row r="219" spans="27:47" ht="14.4">
      <c r="AA219">
        <f t="shared" si="44"/>
        <v>211</v>
      </c>
      <c r="AB219">
        <f t="shared" si="45"/>
        <v>201724.5546345808</v>
      </c>
      <c r="AC219">
        <f t="shared" si="46"/>
        <v>1518.4429128686811</v>
      </c>
      <c r="AD219">
        <f t="shared" si="47"/>
        <v>2252.9433274453913</v>
      </c>
      <c r="AE219">
        <f t="shared" si="42"/>
        <v>734.50041457671023</v>
      </c>
      <c r="AF219">
        <f t="shared" si="48"/>
        <v>397095.5967255584</v>
      </c>
      <c r="AG219">
        <f t="shared" si="49"/>
        <v>78275.445365419277</v>
      </c>
      <c r="AO219">
        <f t="shared" si="50"/>
        <v>211</v>
      </c>
      <c r="AP219">
        <f t="shared" si="51"/>
        <v>0</v>
      </c>
      <c r="AQ219">
        <f t="shared" si="52"/>
        <v>0</v>
      </c>
      <c r="AR219">
        <f t="shared" si="53"/>
        <v>0</v>
      </c>
      <c r="AS219">
        <f t="shared" si="43"/>
        <v>0</v>
      </c>
      <c r="AT219">
        <f t="shared" si="54"/>
        <v>250155.11224442557</v>
      </c>
      <c r="AU219">
        <f t="shared" si="55"/>
        <v>279999.99999999988</v>
      </c>
    </row>
    <row r="220" spans="27:47" ht="14.4">
      <c r="AA220">
        <f t="shared" si="44"/>
        <v>212</v>
      </c>
      <c r="AB220">
        <f t="shared" si="45"/>
        <v>200984.54546689475</v>
      </c>
      <c r="AC220">
        <f t="shared" si="46"/>
        <v>1512.9341597593559</v>
      </c>
      <c r="AD220">
        <f t="shared" si="47"/>
        <v>2252.9433274453913</v>
      </c>
      <c r="AE220">
        <f t="shared" si="42"/>
        <v>740.00916768603543</v>
      </c>
      <c r="AF220">
        <f t="shared" si="48"/>
        <v>398608.53088531777</v>
      </c>
      <c r="AG220">
        <f t="shared" si="49"/>
        <v>79015.454533105309</v>
      </c>
      <c r="AO220">
        <f t="shared" si="50"/>
        <v>212</v>
      </c>
      <c r="AP220">
        <f t="shared" si="51"/>
        <v>0</v>
      </c>
      <c r="AQ220">
        <f t="shared" si="52"/>
        <v>0</v>
      </c>
      <c r="AR220">
        <f t="shared" si="53"/>
        <v>0</v>
      </c>
      <c r="AS220">
        <f t="shared" si="43"/>
        <v>0</v>
      </c>
      <c r="AT220">
        <f t="shared" si="54"/>
        <v>250155.11224442557</v>
      </c>
      <c r="AU220">
        <f t="shared" si="55"/>
        <v>279999.99999999988</v>
      </c>
    </row>
    <row r="221" spans="27:47" ht="14.4">
      <c r="AA221">
        <f t="shared" si="44"/>
        <v>213</v>
      </c>
      <c r="AB221">
        <f t="shared" si="45"/>
        <v>200238.98623045106</v>
      </c>
      <c r="AC221">
        <f t="shared" si="46"/>
        <v>1507.3840910017107</v>
      </c>
      <c r="AD221">
        <f t="shared" si="47"/>
        <v>2252.9433274453913</v>
      </c>
      <c r="AE221">
        <f t="shared" si="42"/>
        <v>745.55923644368067</v>
      </c>
      <c r="AF221">
        <f t="shared" si="48"/>
        <v>400115.91497631947</v>
      </c>
      <c r="AG221">
        <f t="shared" si="49"/>
        <v>79761.013769548983</v>
      </c>
      <c r="AO221">
        <f t="shared" si="50"/>
        <v>213</v>
      </c>
      <c r="AP221">
        <f t="shared" si="51"/>
        <v>0</v>
      </c>
      <c r="AQ221">
        <f t="shared" si="52"/>
        <v>0</v>
      </c>
      <c r="AR221">
        <f t="shared" si="53"/>
        <v>0</v>
      </c>
      <c r="AS221">
        <f t="shared" si="43"/>
        <v>0</v>
      </c>
      <c r="AT221">
        <f t="shared" si="54"/>
        <v>250155.11224442557</v>
      </c>
      <c r="AU221">
        <f t="shared" si="55"/>
        <v>279999.99999999988</v>
      </c>
    </row>
    <row r="222" spans="27:47" ht="14.4">
      <c r="AA222">
        <f t="shared" si="44"/>
        <v>214</v>
      </c>
      <c r="AB222">
        <f t="shared" si="45"/>
        <v>199487.83529973406</v>
      </c>
      <c r="AC222">
        <f t="shared" si="46"/>
        <v>1501.792396728383</v>
      </c>
      <c r="AD222">
        <f t="shared" si="47"/>
        <v>2252.9433274453913</v>
      </c>
      <c r="AE222">
        <f t="shared" si="42"/>
        <v>751.15093071700835</v>
      </c>
      <c r="AF222">
        <f t="shared" si="48"/>
        <v>401617.70737304783</v>
      </c>
      <c r="AG222">
        <f t="shared" si="49"/>
        <v>80512.164700265988</v>
      </c>
      <c r="AO222">
        <f t="shared" si="50"/>
        <v>214</v>
      </c>
      <c r="AP222">
        <f t="shared" si="51"/>
        <v>0</v>
      </c>
      <c r="AQ222">
        <f t="shared" si="52"/>
        <v>0</v>
      </c>
      <c r="AR222">
        <f t="shared" si="53"/>
        <v>0</v>
      </c>
      <c r="AS222">
        <f t="shared" si="43"/>
        <v>0</v>
      </c>
      <c r="AT222">
        <f t="shared" si="54"/>
        <v>250155.11224442557</v>
      </c>
      <c r="AU222">
        <f t="shared" si="55"/>
        <v>279999.99999999988</v>
      </c>
    </row>
    <row r="223" spans="27:47" ht="14.4">
      <c r="AA223">
        <f t="shared" si="44"/>
        <v>215</v>
      </c>
      <c r="AB223">
        <f t="shared" si="45"/>
        <v>198731.05073703668</v>
      </c>
      <c r="AC223">
        <f t="shared" si="46"/>
        <v>1496.1587647480053</v>
      </c>
      <c r="AD223">
        <f t="shared" si="47"/>
        <v>2252.9433274453913</v>
      </c>
      <c r="AE223">
        <f t="shared" si="42"/>
        <v>756.78456269738604</v>
      </c>
      <c r="AF223">
        <f t="shared" si="48"/>
        <v>403113.86613779585</v>
      </c>
      <c r="AG223">
        <f t="shared" si="49"/>
        <v>81268.949262963375</v>
      </c>
      <c r="AO223">
        <f t="shared" si="50"/>
        <v>215</v>
      </c>
      <c r="AP223">
        <f t="shared" si="51"/>
        <v>0</v>
      </c>
      <c r="AQ223">
        <f t="shared" si="52"/>
        <v>0</v>
      </c>
      <c r="AR223">
        <f t="shared" si="53"/>
        <v>0</v>
      </c>
      <c r="AS223">
        <f t="shared" si="43"/>
        <v>0</v>
      </c>
      <c r="AT223">
        <f t="shared" si="54"/>
        <v>250155.11224442557</v>
      </c>
      <c r="AU223">
        <f t="shared" si="55"/>
        <v>279999.99999999988</v>
      </c>
    </row>
    <row r="224" spans="27:47" ht="14.4">
      <c r="AA224">
        <f t="shared" si="44"/>
        <v>216</v>
      </c>
      <c r="AB224">
        <f t="shared" si="45"/>
        <v>197968.59029011906</v>
      </c>
      <c r="AC224">
        <f t="shared" si="46"/>
        <v>1490.482880527775</v>
      </c>
      <c r="AD224">
        <f t="shared" si="47"/>
        <v>2252.9433274453913</v>
      </c>
      <c r="AE224">
        <f t="shared" si="42"/>
        <v>762.46044691761631</v>
      </c>
      <c r="AF224">
        <f t="shared" si="48"/>
        <v>404604.34901832364</v>
      </c>
      <c r="AG224">
        <f t="shared" si="49"/>
        <v>82031.409709880987</v>
      </c>
      <c r="AO224">
        <f t="shared" si="50"/>
        <v>216</v>
      </c>
      <c r="AP224">
        <f t="shared" si="51"/>
        <v>0</v>
      </c>
      <c r="AQ224">
        <f t="shared" si="52"/>
        <v>0</v>
      </c>
      <c r="AR224">
        <f t="shared" si="53"/>
        <v>0</v>
      </c>
      <c r="AS224">
        <f t="shared" si="43"/>
        <v>0</v>
      </c>
      <c r="AT224">
        <f t="shared" si="54"/>
        <v>250155.11224442557</v>
      </c>
      <c r="AU224">
        <f t="shared" si="55"/>
        <v>279999.99999999988</v>
      </c>
    </row>
    <row r="225" spans="27:47" ht="14.4">
      <c r="AA225">
        <f t="shared" si="44"/>
        <v>217</v>
      </c>
      <c r="AB225">
        <f t="shared" si="45"/>
        <v>197200.41138984956</v>
      </c>
      <c r="AC225">
        <f t="shared" si="46"/>
        <v>1484.7644271758929</v>
      </c>
      <c r="AD225">
        <f t="shared" si="47"/>
        <v>2252.9433274453913</v>
      </c>
      <c r="AE225">
        <f t="shared" si="42"/>
        <v>768.1789002694984</v>
      </c>
      <c r="AF225">
        <f t="shared" si="48"/>
        <v>406089.11344549956</v>
      </c>
      <c r="AG225">
        <f t="shared" si="49"/>
        <v>82799.588610150488</v>
      </c>
      <c r="AO225">
        <f t="shared" si="50"/>
        <v>217</v>
      </c>
      <c r="AP225">
        <f t="shared" si="51"/>
        <v>0</v>
      </c>
      <c r="AQ225">
        <f t="shared" si="52"/>
        <v>0</v>
      </c>
      <c r="AR225">
        <f t="shared" si="53"/>
        <v>0</v>
      </c>
      <c r="AS225">
        <f t="shared" si="43"/>
        <v>0</v>
      </c>
      <c r="AT225">
        <f t="shared" si="54"/>
        <v>250155.11224442557</v>
      </c>
      <c r="AU225">
        <f t="shared" si="55"/>
        <v>279999.99999999988</v>
      </c>
    </row>
    <row r="226" spans="27:47" ht="14.4">
      <c r="AA226">
        <f t="shared" si="44"/>
        <v>218</v>
      </c>
      <c r="AB226">
        <f t="shared" si="45"/>
        <v>196426.47114782804</v>
      </c>
      <c r="AC226">
        <f t="shared" si="46"/>
        <v>1479.0030854238717</v>
      </c>
      <c r="AD226">
        <f t="shared" si="47"/>
        <v>2252.9433274453913</v>
      </c>
      <c r="AE226">
        <f t="shared" si="42"/>
        <v>773.94024202151968</v>
      </c>
      <c r="AF226">
        <f t="shared" si="48"/>
        <v>407568.11653092341</v>
      </c>
      <c r="AG226">
        <f t="shared" si="49"/>
        <v>83573.528852172007</v>
      </c>
      <c r="AO226">
        <f t="shared" si="50"/>
        <v>218</v>
      </c>
      <c r="AP226">
        <f t="shared" si="51"/>
        <v>0</v>
      </c>
      <c r="AQ226">
        <f t="shared" si="52"/>
        <v>0</v>
      </c>
      <c r="AR226">
        <f t="shared" si="53"/>
        <v>0</v>
      </c>
      <c r="AS226">
        <f t="shared" si="43"/>
        <v>0</v>
      </c>
      <c r="AT226">
        <f t="shared" si="54"/>
        <v>250155.11224442557</v>
      </c>
      <c r="AU226">
        <f t="shared" si="55"/>
        <v>279999.99999999988</v>
      </c>
    </row>
    <row r="227" spans="27:47" ht="14.4">
      <c r="AA227">
        <f t="shared" si="44"/>
        <v>219</v>
      </c>
      <c r="AB227">
        <f t="shared" si="45"/>
        <v>195646.72635399137</v>
      </c>
      <c r="AC227">
        <f t="shared" si="46"/>
        <v>1473.1985336087102</v>
      </c>
      <c r="AD227">
        <f t="shared" si="47"/>
        <v>2252.9433274453913</v>
      </c>
      <c r="AE227">
        <f t="shared" si="42"/>
        <v>779.74479383668108</v>
      </c>
      <c r="AF227">
        <f t="shared" si="48"/>
        <v>409041.3150645321</v>
      </c>
      <c r="AG227">
        <f t="shared" si="49"/>
        <v>84353.273646008689</v>
      </c>
      <c r="AO227">
        <f t="shared" si="50"/>
        <v>219</v>
      </c>
      <c r="AP227">
        <f t="shared" si="51"/>
        <v>0</v>
      </c>
      <c r="AQ227">
        <f t="shared" si="52"/>
        <v>0</v>
      </c>
      <c r="AR227">
        <f t="shared" si="53"/>
        <v>0</v>
      </c>
      <c r="AS227">
        <f t="shared" si="43"/>
        <v>0</v>
      </c>
      <c r="AT227">
        <f t="shared" si="54"/>
        <v>250155.11224442557</v>
      </c>
      <c r="AU227">
        <f t="shared" si="55"/>
        <v>279999.99999999988</v>
      </c>
    </row>
    <row r="228" spans="27:47" ht="14.4">
      <c r="AA228">
        <f t="shared" si="44"/>
        <v>220</v>
      </c>
      <c r="AB228">
        <f t="shared" si="45"/>
        <v>194861.13347420091</v>
      </c>
      <c r="AC228">
        <f t="shared" si="46"/>
        <v>1467.3504476549351</v>
      </c>
      <c r="AD228">
        <f t="shared" si="47"/>
        <v>2252.9433274453913</v>
      </c>
      <c r="AE228">
        <f t="shared" si="42"/>
        <v>785.59287979045621</v>
      </c>
      <c r="AF228">
        <f t="shared" si="48"/>
        <v>410508.66551218706</v>
      </c>
      <c r="AG228">
        <f t="shared" si="49"/>
        <v>85138.866525799152</v>
      </c>
      <c r="AO228">
        <f t="shared" si="50"/>
        <v>220</v>
      </c>
      <c r="AP228">
        <f t="shared" si="51"/>
        <v>0</v>
      </c>
      <c r="AQ228">
        <f t="shared" si="52"/>
        <v>0</v>
      </c>
      <c r="AR228">
        <f t="shared" si="53"/>
        <v>0</v>
      </c>
      <c r="AS228">
        <f t="shared" si="43"/>
        <v>0</v>
      </c>
      <c r="AT228">
        <f t="shared" si="54"/>
        <v>250155.11224442557</v>
      </c>
      <c r="AU228">
        <f t="shared" si="55"/>
        <v>279999.99999999988</v>
      </c>
    </row>
    <row r="229" spans="27:47" ht="14.4">
      <c r="AA229">
        <f t="shared" si="44"/>
        <v>221</v>
      </c>
      <c r="AB229">
        <f t="shared" si="45"/>
        <v>194069.64864781202</v>
      </c>
      <c r="AC229">
        <f t="shared" si="46"/>
        <v>1461.4585010565067</v>
      </c>
      <c r="AD229">
        <f t="shared" si="47"/>
        <v>2252.9433274453913</v>
      </c>
      <c r="AE229">
        <f t="shared" si="42"/>
        <v>791.48482638888458</v>
      </c>
      <c r="AF229">
        <f t="shared" si="48"/>
        <v>411970.12401324359</v>
      </c>
      <c r="AG229">
        <f t="shared" si="49"/>
        <v>85930.351352188038</v>
      </c>
      <c r="AO229">
        <f t="shared" si="50"/>
        <v>221</v>
      </c>
      <c r="AP229">
        <f t="shared" si="51"/>
        <v>0</v>
      </c>
      <c r="AQ229">
        <f t="shared" si="52"/>
        <v>0</v>
      </c>
      <c r="AR229">
        <f t="shared" si="53"/>
        <v>0</v>
      </c>
      <c r="AS229">
        <f t="shared" si="43"/>
        <v>0</v>
      </c>
      <c r="AT229">
        <f t="shared" si="54"/>
        <v>250155.11224442557</v>
      </c>
      <c r="AU229">
        <f t="shared" si="55"/>
        <v>279999.99999999988</v>
      </c>
    </row>
    <row r="230" spans="27:47" ht="14.4">
      <c r="AA230">
        <f t="shared" si="44"/>
        <v>222</v>
      </c>
      <c r="AB230">
        <f t="shared" si="45"/>
        <v>193272.22768522523</v>
      </c>
      <c r="AC230">
        <f t="shared" si="46"/>
        <v>1455.5223648585902</v>
      </c>
      <c r="AD230">
        <f t="shared" si="47"/>
        <v>2252.9433274453913</v>
      </c>
      <c r="AE230">
        <f t="shared" si="42"/>
        <v>797.42096258680112</v>
      </c>
      <c r="AF230">
        <f t="shared" si="48"/>
        <v>413425.64637810219</v>
      </c>
      <c r="AG230">
        <f t="shared" si="49"/>
        <v>86727.772314774833</v>
      </c>
      <c r="AO230">
        <f t="shared" si="50"/>
        <v>222</v>
      </c>
      <c r="AP230">
        <f t="shared" si="51"/>
        <v>0</v>
      </c>
      <c r="AQ230">
        <f t="shared" si="52"/>
        <v>0</v>
      </c>
      <c r="AR230">
        <f t="shared" si="53"/>
        <v>0</v>
      </c>
      <c r="AS230">
        <f t="shared" si="43"/>
        <v>0</v>
      </c>
      <c r="AT230">
        <f t="shared" si="54"/>
        <v>250155.11224442557</v>
      </c>
      <c r="AU230">
        <f t="shared" si="55"/>
        <v>279999.99999999988</v>
      </c>
    </row>
    <row r="231" spans="27:47" ht="14.4">
      <c r="AA231">
        <f t="shared" si="44"/>
        <v>223</v>
      </c>
      <c r="AB231">
        <f t="shared" si="45"/>
        <v>192468.82606541901</v>
      </c>
      <c r="AC231">
        <f t="shared" si="46"/>
        <v>1449.5417076391891</v>
      </c>
      <c r="AD231">
        <f t="shared" si="47"/>
        <v>2252.9433274453913</v>
      </c>
      <c r="AE231">
        <f t="shared" si="42"/>
        <v>803.40161980620223</v>
      </c>
      <c r="AF231">
        <f t="shared" si="48"/>
        <v>414875.18808574136</v>
      </c>
      <c r="AG231">
        <f t="shared" si="49"/>
        <v>87531.173934581035</v>
      </c>
      <c r="AO231">
        <f t="shared" si="50"/>
        <v>223</v>
      </c>
      <c r="AP231">
        <f t="shared" si="51"/>
        <v>0</v>
      </c>
      <c r="AQ231">
        <f t="shared" si="52"/>
        <v>0</v>
      </c>
      <c r="AR231">
        <f t="shared" si="53"/>
        <v>0</v>
      </c>
      <c r="AS231">
        <f t="shared" si="43"/>
        <v>0</v>
      </c>
      <c r="AT231">
        <f t="shared" si="54"/>
        <v>250155.11224442557</v>
      </c>
      <c r="AU231">
        <f t="shared" si="55"/>
        <v>279999.99999999988</v>
      </c>
    </row>
    <row r="232" spans="27:47" ht="14.4">
      <c r="AA232">
        <f t="shared" si="44"/>
        <v>224</v>
      </c>
      <c r="AB232">
        <f t="shared" si="45"/>
        <v>191659.39893346425</v>
      </c>
      <c r="AC232">
        <f t="shared" si="46"/>
        <v>1443.5161954906425</v>
      </c>
      <c r="AD232">
        <f t="shared" si="47"/>
        <v>2252.9433274453913</v>
      </c>
      <c r="AE232">
        <f t="shared" si="42"/>
        <v>809.4271319547488</v>
      </c>
      <c r="AF232">
        <f t="shared" si="48"/>
        <v>416318.70428123203</v>
      </c>
      <c r="AG232">
        <f t="shared" si="49"/>
        <v>88340.60106653579</v>
      </c>
      <c r="AO232">
        <f t="shared" si="50"/>
        <v>224</v>
      </c>
      <c r="AP232">
        <f t="shared" si="51"/>
        <v>0</v>
      </c>
      <c r="AQ232">
        <f t="shared" si="52"/>
        <v>0</v>
      </c>
      <c r="AR232">
        <f t="shared" si="53"/>
        <v>0</v>
      </c>
      <c r="AS232">
        <f t="shared" si="43"/>
        <v>0</v>
      </c>
      <c r="AT232">
        <f t="shared" si="54"/>
        <v>250155.11224442557</v>
      </c>
      <c r="AU232">
        <f t="shared" si="55"/>
        <v>279999.99999999988</v>
      </c>
    </row>
    <row r="233" spans="27:47" ht="14.4">
      <c r="AA233">
        <f t="shared" si="44"/>
        <v>225</v>
      </c>
      <c r="AB233">
        <f t="shared" si="45"/>
        <v>190843.90109801985</v>
      </c>
      <c r="AC233">
        <f t="shared" si="46"/>
        <v>1437.4454920009819</v>
      </c>
      <c r="AD233">
        <f t="shared" si="47"/>
        <v>2252.9433274453913</v>
      </c>
      <c r="AE233">
        <f t="shared" si="42"/>
        <v>815.49783544440947</v>
      </c>
      <c r="AF233">
        <f t="shared" si="48"/>
        <v>417756.14977323299</v>
      </c>
      <c r="AG233">
        <f t="shared" si="49"/>
        <v>89156.098901980193</v>
      </c>
      <c r="AO233">
        <f t="shared" si="50"/>
        <v>225</v>
      </c>
      <c r="AP233">
        <f t="shared" si="51"/>
        <v>0</v>
      </c>
      <c r="AQ233">
        <f t="shared" si="52"/>
        <v>0</v>
      </c>
      <c r="AR233">
        <f t="shared" si="53"/>
        <v>0</v>
      </c>
      <c r="AS233">
        <f t="shared" si="43"/>
        <v>0</v>
      </c>
      <c r="AT233">
        <f t="shared" si="54"/>
        <v>250155.11224442557</v>
      </c>
      <c r="AU233">
        <f t="shared" si="55"/>
        <v>279999.99999999988</v>
      </c>
    </row>
    <row r="234" spans="27:47" ht="14.4">
      <c r="AA234">
        <f t="shared" si="44"/>
        <v>226</v>
      </c>
      <c r="AB234">
        <f t="shared" si="45"/>
        <v>190022.2870288096</v>
      </c>
      <c r="AC234">
        <f t="shared" si="46"/>
        <v>1431.3292582351489</v>
      </c>
      <c r="AD234">
        <f t="shared" si="47"/>
        <v>2252.9433274453913</v>
      </c>
      <c r="AE234">
        <f t="shared" si="42"/>
        <v>821.61406921024241</v>
      </c>
      <c r="AF234">
        <f t="shared" si="48"/>
        <v>419187.47903146816</v>
      </c>
      <c r="AG234">
        <f t="shared" si="49"/>
        <v>89977.712971190442</v>
      </c>
      <c r="AO234">
        <f t="shared" si="50"/>
        <v>226</v>
      </c>
      <c r="AP234">
        <f t="shared" si="51"/>
        <v>0</v>
      </c>
      <c r="AQ234">
        <f t="shared" si="52"/>
        <v>0</v>
      </c>
      <c r="AR234">
        <f t="shared" si="53"/>
        <v>0</v>
      </c>
      <c r="AS234">
        <f t="shared" si="43"/>
        <v>0</v>
      </c>
      <c r="AT234">
        <f t="shared" si="54"/>
        <v>250155.11224442557</v>
      </c>
      <c r="AU234">
        <f t="shared" si="55"/>
        <v>279999.99999999988</v>
      </c>
    </row>
    <row r="235" spans="27:47" ht="14.4">
      <c r="AA235">
        <f t="shared" si="44"/>
        <v>227</v>
      </c>
      <c r="AB235">
        <f t="shared" si="45"/>
        <v>189194.51085408029</v>
      </c>
      <c r="AC235">
        <f t="shared" si="46"/>
        <v>1425.167152716072</v>
      </c>
      <c r="AD235">
        <f t="shared" si="47"/>
        <v>2252.9433274453913</v>
      </c>
      <c r="AE235">
        <f t="shared" si="42"/>
        <v>827.77617472931934</v>
      </c>
      <c r="AF235">
        <f t="shared" si="48"/>
        <v>420612.64618418424</v>
      </c>
      <c r="AG235">
        <f t="shared" si="49"/>
        <v>90805.489145919768</v>
      </c>
      <c r="AO235">
        <f t="shared" si="50"/>
        <v>227</v>
      </c>
      <c r="AP235">
        <f t="shared" si="51"/>
        <v>0</v>
      </c>
      <c r="AQ235">
        <f t="shared" si="52"/>
        <v>0</v>
      </c>
      <c r="AR235">
        <f t="shared" si="53"/>
        <v>0</v>
      </c>
      <c r="AS235">
        <f t="shared" si="43"/>
        <v>0</v>
      </c>
      <c r="AT235">
        <f t="shared" si="54"/>
        <v>250155.11224442557</v>
      </c>
      <c r="AU235">
        <f t="shared" si="55"/>
        <v>279999.99999999988</v>
      </c>
    </row>
    <row r="236" spans="27:47" ht="14.4">
      <c r="AA236">
        <f t="shared" si="44"/>
        <v>228</v>
      </c>
      <c r="AB236">
        <f t="shared" si="45"/>
        <v>188360.52635804052</v>
      </c>
      <c r="AC236">
        <f t="shared" si="46"/>
        <v>1418.958831405602</v>
      </c>
      <c r="AD236">
        <f t="shared" si="47"/>
        <v>2252.9433274453913</v>
      </c>
      <c r="AE236">
        <f t="shared" si="42"/>
        <v>833.98449603978929</v>
      </c>
      <c r="AF236">
        <f t="shared" si="48"/>
        <v>422031.60501558986</v>
      </c>
      <c r="AG236">
        <f t="shared" si="49"/>
        <v>91639.473641959557</v>
      </c>
      <c r="AO236">
        <f t="shared" si="50"/>
        <v>228</v>
      </c>
      <c r="AP236">
        <f t="shared" si="51"/>
        <v>0</v>
      </c>
      <c r="AQ236">
        <f t="shared" si="52"/>
        <v>0</v>
      </c>
      <c r="AR236">
        <f t="shared" si="53"/>
        <v>0</v>
      </c>
      <c r="AS236">
        <f t="shared" si="43"/>
        <v>0</v>
      </c>
      <c r="AT236">
        <f t="shared" si="54"/>
        <v>250155.11224442557</v>
      </c>
      <c r="AU236">
        <f t="shared" si="55"/>
        <v>279999.99999999988</v>
      </c>
    </row>
    <row r="237" spans="27:47" ht="14.4">
      <c r="AA237">
        <f t="shared" si="44"/>
        <v>229</v>
      </c>
      <c r="AB237">
        <f t="shared" si="45"/>
        <v>187520.28697828043</v>
      </c>
      <c r="AC237">
        <f t="shared" si="46"/>
        <v>1412.7039476853038</v>
      </c>
      <c r="AD237">
        <f t="shared" si="47"/>
        <v>2252.9433274453913</v>
      </c>
      <c r="AE237">
        <f t="shared" si="42"/>
        <v>840.23937976008756</v>
      </c>
      <c r="AF237">
        <f t="shared" si="48"/>
        <v>423444.30896327517</v>
      </c>
      <c r="AG237">
        <f t="shared" si="49"/>
        <v>92479.713021719639</v>
      </c>
      <c r="AO237">
        <f t="shared" si="50"/>
        <v>229</v>
      </c>
      <c r="AP237">
        <f t="shared" si="51"/>
        <v>0</v>
      </c>
      <c r="AQ237">
        <f t="shared" si="52"/>
        <v>0</v>
      </c>
      <c r="AR237">
        <f t="shared" si="53"/>
        <v>0</v>
      </c>
      <c r="AS237">
        <f t="shared" si="43"/>
        <v>0</v>
      </c>
      <c r="AT237">
        <f t="shared" si="54"/>
        <v>250155.11224442557</v>
      </c>
      <c r="AU237">
        <f t="shared" si="55"/>
        <v>279999.99999999988</v>
      </c>
    </row>
    <row r="238" spans="27:47" ht="14.4">
      <c r="AA238">
        <f t="shared" si="44"/>
        <v>230</v>
      </c>
      <c r="AB238">
        <f t="shared" si="45"/>
        <v>186673.74580317215</v>
      </c>
      <c r="AC238">
        <f t="shared" si="46"/>
        <v>1406.4021523371032</v>
      </c>
      <c r="AD238">
        <f t="shared" si="47"/>
        <v>2252.9433274453913</v>
      </c>
      <c r="AE238">
        <f t="shared" si="42"/>
        <v>846.54117510828814</v>
      </c>
      <c r="AF238">
        <f t="shared" si="48"/>
        <v>424850.71111561224</v>
      </c>
      <c r="AG238">
        <f t="shared" si="49"/>
        <v>93326.254196827926</v>
      </c>
      <c r="AO238">
        <f t="shared" si="50"/>
        <v>230</v>
      </c>
      <c r="AP238">
        <f t="shared" si="51"/>
        <v>0</v>
      </c>
      <c r="AQ238">
        <f t="shared" si="52"/>
        <v>0</v>
      </c>
      <c r="AR238">
        <f t="shared" si="53"/>
        <v>0</v>
      </c>
      <c r="AS238">
        <f t="shared" si="43"/>
        <v>0</v>
      </c>
      <c r="AT238">
        <f t="shared" si="54"/>
        <v>250155.11224442557</v>
      </c>
      <c r="AU238">
        <f t="shared" si="55"/>
        <v>279999.99999999988</v>
      </c>
    </row>
    <row r="239" spans="27:47" ht="14.4">
      <c r="AA239">
        <f t="shared" si="44"/>
        <v>231</v>
      </c>
      <c r="AB239">
        <f t="shared" si="45"/>
        <v>185820.85556925053</v>
      </c>
      <c r="AC239">
        <f t="shared" si="46"/>
        <v>1400.0530935237909</v>
      </c>
      <c r="AD239">
        <f t="shared" si="47"/>
        <v>2252.9433274453913</v>
      </c>
      <c r="AE239">
        <f t="shared" si="42"/>
        <v>852.89023392160038</v>
      </c>
      <c r="AF239">
        <f t="shared" si="48"/>
        <v>426250.76420913602</v>
      </c>
      <c r="AG239">
        <f t="shared" si="49"/>
        <v>94179.144430749526</v>
      </c>
      <c r="AO239">
        <f t="shared" si="50"/>
        <v>231</v>
      </c>
      <c r="AP239">
        <f t="shared" si="51"/>
        <v>0</v>
      </c>
      <c r="AQ239">
        <f t="shared" si="52"/>
        <v>0</v>
      </c>
      <c r="AR239">
        <f t="shared" si="53"/>
        <v>0</v>
      </c>
      <c r="AS239">
        <f t="shared" si="43"/>
        <v>0</v>
      </c>
      <c r="AT239">
        <f t="shared" si="54"/>
        <v>250155.11224442557</v>
      </c>
      <c r="AU239">
        <f t="shared" si="55"/>
        <v>279999.99999999988</v>
      </c>
    </row>
    <row r="240" spans="27:47" ht="14.4">
      <c r="AA240">
        <f t="shared" si="44"/>
        <v>232</v>
      </c>
      <c r="AB240">
        <f t="shared" si="45"/>
        <v>184961.56865857451</v>
      </c>
      <c r="AC240">
        <f t="shared" si="46"/>
        <v>1393.6564167693789</v>
      </c>
      <c r="AD240">
        <f t="shared" si="47"/>
        <v>2252.9433274453913</v>
      </c>
      <c r="AE240">
        <f t="shared" si="42"/>
        <v>859.28691067601244</v>
      </c>
      <c r="AF240">
        <f t="shared" si="48"/>
        <v>427644.42062590539</v>
      </c>
      <c r="AG240">
        <f t="shared" si="49"/>
        <v>95038.431341425545</v>
      </c>
      <c r="AO240">
        <f t="shared" si="50"/>
        <v>232</v>
      </c>
      <c r="AP240">
        <f t="shared" si="51"/>
        <v>0</v>
      </c>
      <c r="AQ240">
        <f t="shared" si="52"/>
        <v>0</v>
      </c>
      <c r="AR240">
        <f t="shared" si="53"/>
        <v>0</v>
      </c>
      <c r="AS240">
        <f t="shared" si="43"/>
        <v>0</v>
      </c>
      <c r="AT240">
        <f t="shared" si="54"/>
        <v>250155.11224442557</v>
      </c>
      <c r="AU240">
        <f t="shared" si="55"/>
        <v>279999.99999999988</v>
      </c>
    </row>
    <row r="241" spans="27:47" ht="14.4">
      <c r="AA241">
        <f t="shared" si="44"/>
        <v>233</v>
      </c>
      <c r="AB241">
        <f t="shared" si="45"/>
        <v>184095.83709606843</v>
      </c>
      <c r="AC241">
        <f t="shared" si="46"/>
        <v>1387.2117649393088</v>
      </c>
      <c r="AD241">
        <f t="shared" si="47"/>
        <v>2252.9433274453913</v>
      </c>
      <c r="AE241">
        <f t="shared" si="42"/>
        <v>865.73156250608258</v>
      </c>
      <c r="AF241">
        <f t="shared" si="48"/>
        <v>429031.63239084469</v>
      </c>
      <c r="AG241">
        <f t="shared" si="49"/>
        <v>95904.162903931632</v>
      </c>
      <c r="AO241">
        <f t="shared" si="50"/>
        <v>233</v>
      </c>
      <c r="AP241">
        <f t="shared" si="51"/>
        <v>0</v>
      </c>
      <c r="AQ241">
        <f t="shared" si="52"/>
        <v>0</v>
      </c>
      <c r="AR241">
        <f t="shared" si="53"/>
        <v>0</v>
      </c>
      <c r="AS241">
        <f t="shared" si="43"/>
        <v>0</v>
      </c>
      <c r="AT241">
        <f t="shared" si="54"/>
        <v>250155.11224442557</v>
      </c>
      <c r="AU241">
        <f t="shared" si="55"/>
        <v>279999.99999999988</v>
      </c>
    </row>
    <row r="242" spans="27:47" ht="14.4">
      <c r="AA242">
        <f t="shared" si="44"/>
        <v>234</v>
      </c>
      <c r="AB242">
        <f t="shared" si="45"/>
        <v>183223.61254684353</v>
      </c>
      <c r="AC242">
        <f t="shared" si="46"/>
        <v>1380.7187782205131</v>
      </c>
      <c r="AD242">
        <f t="shared" si="47"/>
        <v>2252.9433274453913</v>
      </c>
      <c r="AE242">
        <f t="shared" si="42"/>
        <v>872.22454922487827</v>
      </c>
      <c r="AF242">
        <f t="shared" si="48"/>
        <v>430412.35116906522</v>
      </c>
      <c r="AG242">
        <f t="shared" si="49"/>
        <v>96776.387453156509</v>
      </c>
      <c r="AO242">
        <f t="shared" si="50"/>
        <v>234</v>
      </c>
      <c r="AP242">
        <f t="shared" si="51"/>
        <v>0</v>
      </c>
      <c r="AQ242">
        <f t="shared" si="52"/>
        <v>0</v>
      </c>
      <c r="AR242">
        <f t="shared" si="53"/>
        <v>0</v>
      </c>
      <c r="AS242">
        <f t="shared" si="43"/>
        <v>0</v>
      </c>
      <c r="AT242">
        <f t="shared" si="54"/>
        <v>250155.11224442557</v>
      </c>
      <c r="AU242">
        <f t="shared" si="55"/>
        <v>279999.99999999988</v>
      </c>
    </row>
    <row r="243" spans="27:47" ht="14.4">
      <c r="AA243">
        <f t="shared" si="44"/>
        <v>235</v>
      </c>
      <c r="AB243">
        <f t="shared" si="45"/>
        <v>182344.84631349947</v>
      </c>
      <c r="AC243">
        <f t="shared" si="46"/>
        <v>1374.1770941013265</v>
      </c>
      <c r="AD243">
        <f t="shared" si="47"/>
        <v>2252.9433274453913</v>
      </c>
      <c r="AE243">
        <f t="shared" si="42"/>
        <v>878.76623334406486</v>
      </c>
      <c r="AF243">
        <f t="shared" si="48"/>
        <v>431786.52826316655</v>
      </c>
      <c r="AG243">
        <f t="shared" si="49"/>
        <v>97655.153686500576</v>
      </c>
      <c r="AO243">
        <f t="shared" si="50"/>
        <v>235</v>
      </c>
      <c r="AP243">
        <f t="shared" si="51"/>
        <v>0</v>
      </c>
      <c r="AQ243">
        <f t="shared" si="52"/>
        <v>0</v>
      </c>
      <c r="AR243">
        <f t="shared" si="53"/>
        <v>0</v>
      </c>
      <c r="AS243">
        <f t="shared" si="43"/>
        <v>0</v>
      </c>
      <c r="AT243">
        <f t="shared" si="54"/>
        <v>250155.11224442557</v>
      </c>
      <c r="AU243">
        <f t="shared" si="55"/>
        <v>279999.99999999988</v>
      </c>
    </row>
    <row r="244" spans="27:47" ht="14.4">
      <c r="AA244">
        <f t="shared" si="44"/>
        <v>236</v>
      </c>
      <c r="AB244">
        <f t="shared" si="45"/>
        <v>181459.48933340533</v>
      </c>
      <c r="AC244">
        <f t="shared" si="46"/>
        <v>1367.5863473512459</v>
      </c>
      <c r="AD244">
        <f t="shared" si="47"/>
        <v>2252.9433274453913</v>
      </c>
      <c r="AE244">
        <f t="shared" si="42"/>
        <v>885.35698009414546</v>
      </c>
      <c r="AF244">
        <f t="shared" si="48"/>
        <v>433154.1146105178</v>
      </c>
      <c r="AG244">
        <f t="shared" si="49"/>
        <v>98540.510666594724</v>
      </c>
      <c r="AO244">
        <f t="shared" si="50"/>
        <v>236</v>
      </c>
      <c r="AP244">
        <f t="shared" si="51"/>
        <v>0</v>
      </c>
      <c r="AQ244">
        <f t="shared" si="52"/>
        <v>0</v>
      </c>
      <c r="AR244">
        <f t="shared" si="53"/>
        <v>0</v>
      </c>
      <c r="AS244">
        <f t="shared" si="43"/>
        <v>0</v>
      </c>
      <c r="AT244">
        <f t="shared" si="54"/>
        <v>250155.11224442557</v>
      </c>
      <c r="AU244">
        <f t="shared" si="55"/>
        <v>279999.99999999988</v>
      </c>
    </row>
    <row r="245" spans="27:47" ht="14.4">
      <c r="AA245">
        <f t="shared" si="44"/>
        <v>237</v>
      </c>
      <c r="AB245">
        <f t="shared" si="45"/>
        <v>180567.49217596048</v>
      </c>
      <c r="AC245">
        <f t="shared" si="46"/>
        <v>1360.94617000054</v>
      </c>
      <c r="AD245">
        <f t="shared" si="47"/>
        <v>2252.9433274453913</v>
      </c>
      <c r="AE245">
        <f t="shared" si="42"/>
        <v>891.99715744485138</v>
      </c>
      <c r="AF245">
        <f t="shared" si="48"/>
        <v>434515.06078051834</v>
      </c>
      <c r="AG245">
        <f t="shared" si="49"/>
        <v>99432.507824039581</v>
      </c>
      <c r="AO245">
        <f t="shared" si="50"/>
        <v>237</v>
      </c>
      <c r="AP245">
        <f t="shared" si="51"/>
        <v>0</v>
      </c>
      <c r="AQ245">
        <f t="shared" si="52"/>
        <v>0</v>
      </c>
      <c r="AR245">
        <f t="shared" si="53"/>
        <v>0</v>
      </c>
      <c r="AS245">
        <f t="shared" si="43"/>
        <v>0</v>
      </c>
      <c r="AT245">
        <f t="shared" si="54"/>
        <v>250155.11224442557</v>
      </c>
      <c r="AU245">
        <f t="shared" si="55"/>
        <v>279999.99999999988</v>
      </c>
    </row>
    <row r="246" spans="27:47" ht="14.4">
      <c r="AA246">
        <f t="shared" si="44"/>
        <v>238</v>
      </c>
      <c r="AB246">
        <f t="shared" si="45"/>
        <v>179668.80503983478</v>
      </c>
      <c r="AC246">
        <f t="shared" si="46"/>
        <v>1354.2561913197035</v>
      </c>
      <c r="AD246">
        <f t="shared" si="47"/>
        <v>2252.9433274453913</v>
      </c>
      <c r="AE246">
        <f t="shared" si="42"/>
        <v>898.68713612568786</v>
      </c>
      <c r="AF246">
        <f t="shared" si="48"/>
        <v>435869.31697183807</v>
      </c>
      <c r="AG246">
        <f t="shared" si="49"/>
        <v>100331.19496016527</v>
      </c>
      <c r="AO246">
        <f t="shared" si="50"/>
        <v>238</v>
      </c>
      <c r="AP246">
        <f t="shared" si="51"/>
        <v>0</v>
      </c>
      <c r="AQ246">
        <f t="shared" si="52"/>
        <v>0</v>
      </c>
      <c r="AR246">
        <f t="shared" si="53"/>
        <v>0</v>
      </c>
      <c r="AS246">
        <f t="shared" si="43"/>
        <v>0</v>
      </c>
      <c r="AT246">
        <f t="shared" si="54"/>
        <v>250155.11224442557</v>
      </c>
      <c r="AU246">
        <f t="shared" si="55"/>
        <v>279999.99999999988</v>
      </c>
    </row>
    <row r="247" spans="27:47" ht="14.4">
      <c r="AA247">
        <f t="shared" si="44"/>
        <v>239</v>
      </c>
      <c r="AB247">
        <f t="shared" si="45"/>
        <v>178763.37775018814</v>
      </c>
      <c r="AC247">
        <f t="shared" si="46"/>
        <v>1347.5160377987609</v>
      </c>
      <c r="AD247">
        <f t="shared" si="47"/>
        <v>2252.9433274453913</v>
      </c>
      <c r="AE247">
        <f t="shared" si="42"/>
        <v>905.42728964663047</v>
      </c>
      <c r="AF247">
        <f t="shared" si="48"/>
        <v>437216.83300963684</v>
      </c>
      <c r="AG247">
        <f t="shared" si="49"/>
        <v>101236.6222498119</v>
      </c>
      <c r="AO247">
        <f t="shared" si="50"/>
        <v>239</v>
      </c>
      <c r="AP247">
        <f t="shared" si="51"/>
        <v>0</v>
      </c>
      <c r="AQ247">
        <f t="shared" si="52"/>
        <v>0</v>
      </c>
      <c r="AR247">
        <f t="shared" si="53"/>
        <v>0</v>
      </c>
      <c r="AS247">
        <f t="shared" si="43"/>
        <v>0</v>
      </c>
      <c r="AT247">
        <f t="shared" si="54"/>
        <v>250155.11224442557</v>
      </c>
      <c r="AU247">
        <f t="shared" si="55"/>
        <v>279999.99999999988</v>
      </c>
    </row>
    <row r="248" spans="27:47" ht="14.4">
      <c r="AA248">
        <f t="shared" si="44"/>
        <v>240</v>
      </c>
      <c r="AB248">
        <f t="shared" si="45"/>
        <v>177851.15975586916</v>
      </c>
      <c r="AC248">
        <f t="shared" si="46"/>
        <v>1340.725333126411</v>
      </c>
      <c r="AD248">
        <f t="shared" si="47"/>
        <v>2252.9433274453913</v>
      </c>
      <c r="AE248">
        <f t="shared" si="42"/>
        <v>912.21799431898035</v>
      </c>
      <c r="AF248">
        <f t="shared" si="48"/>
        <v>438557.55834276328</v>
      </c>
      <c r="AG248">
        <f t="shared" si="49"/>
        <v>102148.84024413089</v>
      </c>
      <c r="AO248">
        <f t="shared" si="50"/>
        <v>240</v>
      </c>
      <c r="AP248">
        <f t="shared" si="51"/>
        <v>0</v>
      </c>
      <c r="AQ248">
        <f t="shared" si="52"/>
        <v>0</v>
      </c>
      <c r="AR248">
        <f t="shared" si="53"/>
        <v>0</v>
      </c>
      <c r="AS248">
        <f t="shared" si="43"/>
        <v>0</v>
      </c>
      <c r="AT248">
        <f t="shared" si="54"/>
        <v>250155.11224442557</v>
      </c>
      <c r="AU248">
        <f t="shared" si="55"/>
        <v>279999.99999999988</v>
      </c>
    </row>
    <row r="249" spans="27:47" ht="14.4">
      <c r="AA249">
        <f t="shared" si="44"/>
        <v>241</v>
      </c>
      <c r="AB249">
        <f t="shared" si="45"/>
        <v>176932.10012659279</v>
      </c>
      <c r="AC249">
        <f t="shared" si="46"/>
        <v>1333.8836981690185</v>
      </c>
      <c r="AD249">
        <f t="shared" si="47"/>
        <v>2252.9433274453913</v>
      </c>
      <c r="AE249">
        <f t="shared" si="42"/>
        <v>919.05962927637279</v>
      </c>
      <c r="AF249">
        <f t="shared" si="48"/>
        <v>439891.44204093231</v>
      </c>
      <c r="AG249">
        <f t="shared" si="49"/>
        <v>103067.89987340725</v>
      </c>
      <c r="AO249">
        <f t="shared" si="50"/>
        <v>241</v>
      </c>
      <c r="AP249">
        <f t="shared" si="51"/>
        <v>0</v>
      </c>
      <c r="AQ249">
        <f t="shared" si="52"/>
        <v>0</v>
      </c>
      <c r="AR249">
        <f t="shared" si="53"/>
        <v>0</v>
      </c>
      <c r="AS249">
        <f t="shared" si="43"/>
        <v>0</v>
      </c>
      <c r="AT249">
        <f t="shared" si="54"/>
        <v>250155.11224442557</v>
      </c>
      <c r="AU249">
        <f t="shared" si="55"/>
        <v>279999.99999999988</v>
      </c>
    </row>
    <row r="250" spans="27:47" ht="14.4">
      <c r="AA250">
        <f t="shared" si="44"/>
        <v>242</v>
      </c>
      <c r="AB250">
        <f t="shared" si="45"/>
        <v>176006.14755009685</v>
      </c>
      <c r="AC250">
        <f t="shared" si="46"/>
        <v>1326.9907509494458</v>
      </c>
      <c r="AD250">
        <f t="shared" si="47"/>
        <v>2252.9433274453913</v>
      </c>
      <c r="AE250">
        <f t="shared" si="42"/>
        <v>925.95257649594555</v>
      </c>
      <c r="AF250">
        <f t="shared" si="48"/>
        <v>441218.43279188173</v>
      </c>
      <c r="AG250">
        <f t="shared" si="49"/>
        <v>103993.85244990319</v>
      </c>
      <c r="AO250">
        <f t="shared" si="50"/>
        <v>242</v>
      </c>
      <c r="AP250">
        <f t="shared" si="51"/>
        <v>0</v>
      </c>
      <c r="AQ250">
        <f t="shared" si="52"/>
        <v>0</v>
      </c>
      <c r="AR250">
        <f t="shared" si="53"/>
        <v>0</v>
      </c>
      <c r="AS250">
        <f t="shared" si="43"/>
        <v>0</v>
      </c>
      <c r="AT250">
        <f t="shared" si="54"/>
        <v>250155.11224442557</v>
      </c>
      <c r="AU250">
        <f t="shared" si="55"/>
        <v>279999.99999999988</v>
      </c>
    </row>
    <row r="251" spans="27:47" ht="14.4">
      <c r="AA251">
        <f t="shared" si="44"/>
        <v>243</v>
      </c>
      <c r="AB251">
        <f t="shared" si="45"/>
        <v>175073.25032927719</v>
      </c>
      <c r="AC251">
        <f t="shared" si="46"/>
        <v>1320.0461066257265</v>
      </c>
      <c r="AD251">
        <f t="shared" si="47"/>
        <v>2252.9433274453913</v>
      </c>
      <c r="AE251">
        <f t="shared" si="42"/>
        <v>932.89722081966488</v>
      </c>
      <c r="AF251">
        <f t="shared" si="48"/>
        <v>442538.47889850743</v>
      </c>
      <c r="AG251">
        <f t="shared" si="49"/>
        <v>104926.74967072286</v>
      </c>
      <c r="AO251">
        <f t="shared" si="50"/>
        <v>243</v>
      </c>
      <c r="AP251">
        <f t="shared" si="51"/>
        <v>0</v>
      </c>
      <c r="AQ251">
        <f t="shared" si="52"/>
        <v>0</v>
      </c>
      <c r="AR251">
        <f t="shared" si="53"/>
        <v>0</v>
      </c>
      <c r="AS251">
        <f t="shared" si="43"/>
        <v>0</v>
      </c>
      <c r="AT251">
        <f t="shared" si="54"/>
        <v>250155.11224442557</v>
      </c>
      <c r="AU251">
        <f t="shared" si="55"/>
        <v>279999.99999999988</v>
      </c>
    </row>
    <row r="252" spans="27:47" ht="14.4">
      <c r="AA252">
        <f t="shared" si="44"/>
        <v>244</v>
      </c>
      <c r="AB252">
        <f t="shared" si="45"/>
        <v>174133.35637930137</v>
      </c>
      <c r="AC252">
        <f t="shared" si="46"/>
        <v>1313.0493774695788</v>
      </c>
      <c r="AD252">
        <f t="shared" si="47"/>
        <v>2252.9433274453913</v>
      </c>
      <c r="AE252">
        <f t="shared" si="42"/>
        <v>939.89394997581257</v>
      </c>
      <c r="AF252">
        <f t="shared" si="48"/>
        <v>443851.52827597701</v>
      </c>
      <c r="AG252">
        <f t="shared" si="49"/>
        <v>105866.64362069867</v>
      </c>
      <c r="AO252">
        <f t="shared" si="50"/>
        <v>244</v>
      </c>
      <c r="AP252">
        <f t="shared" si="51"/>
        <v>0</v>
      </c>
      <c r="AQ252">
        <f t="shared" si="52"/>
        <v>0</v>
      </c>
      <c r="AR252">
        <f t="shared" si="53"/>
        <v>0</v>
      </c>
      <c r="AS252">
        <f t="shared" si="43"/>
        <v>0</v>
      </c>
      <c r="AT252">
        <f t="shared" si="54"/>
        <v>250155.11224442557</v>
      </c>
      <c r="AU252">
        <f t="shared" si="55"/>
        <v>279999.99999999988</v>
      </c>
    </row>
    <row r="253" spans="27:47" ht="14.4">
      <c r="AA253">
        <f t="shared" si="44"/>
        <v>245</v>
      </c>
      <c r="AB253">
        <f t="shared" si="45"/>
        <v>173186.41322470075</v>
      </c>
      <c r="AC253">
        <f t="shared" si="46"/>
        <v>1306.0001728447603</v>
      </c>
      <c r="AD253">
        <f t="shared" si="47"/>
        <v>2252.9433274453913</v>
      </c>
      <c r="AE253">
        <f t="shared" si="42"/>
        <v>946.94315460063103</v>
      </c>
      <c r="AF253">
        <f t="shared" si="48"/>
        <v>445157.52844882174</v>
      </c>
      <c r="AG253">
        <f t="shared" si="49"/>
        <v>106813.58677529931</v>
      </c>
      <c r="AO253">
        <f t="shared" si="50"/>
        <v>245</v>
      </c>
      <c r="AP253">
        <f t="shared" si="51"/>
        <v>0</v>
      </c>
      <c r="AQ253">
        <f t="shared" si="52"/>
        <v>0</v>
      </c>
      <c r="AR253">
        <f t="shared" si="53"/>
        <v>0</v>
      </c>
      <c r="AS253">
        <f t="shared" si="43"/>
        <v>0</v>
      </c>
      <c r="AT253">
        <f t="shared" si="54"/>
        <v>250155.11224442557</v>
      </c>
      <c r="AU253">
        <f t="shared" si="55"/>
        <v>279999.99999999988</v>
      </c>
    </row>
    <row r="254" spans="27:47" ht="14.4">
      <c r="AA254">
        <f t="shared" si="44"/>
        <v>246</v>
      </c>
      <c r="AB254">
        <f t="shared" si="45"/>
        <v>172232.36799644062</v>
      </c>
      <c r="AC254">
        <f t="shared" si="46"/>
        <v>1298.8980991852557</v>
      </c>
      <c r="AD254">
        <f t="shared" si="47"/>
        <v>2252.9433274453913</v>
      </c>
      <c r="AE254">
        <f t="shared" si="42"/>
        <v>954.04522826013567</v>
      </c>
      <c r="AF254">
        <f t="shared" si="48"/>
        <v>446456.426548007</v>
      </c>
      <c r="AG254">
        <f t="shared" si="49"/>
        <v>107767.63200355944</v>
      </c>
      <c r="AO254">
        <f t="shared" si="50"/>
        <v>246</v>
      </c>
      <c r="AP254">
        <f t="shared" si="51"/>
        <v>0</v>
      </c>
      <c r="AQ254">
        <f t="shared" si="52"/>
        <v>0</v>
      </c>
      <c r="AR254">
        <f t="shared" si="53"/>
        <v>0</v>
      </c>
      <c r="AS254">
        <f t="shared" si="43"/>
        <v>0</v>
      </c>
      <c r="AT254">
        <f t="shared" si="54"/>
        <v>250155.11224442557</v>
      </c>
      <c r="AU254">
        <f t="shared" si="55"/>
        <v>279999.99999999988</v>
      </c>
    </row>
    <row r="255" spans="27:47" ht="14.4">
      <c r="AA255">
        <f t="shared" si="44"/>
        <v>247</v>
      </c>
      <c r="AB255">
        <f t="shared" si="45"/>
        <v>171271.16742896853</v>
      </c>
      <c r="AC255">
        <f t="shared" si="46"/>
        <v>1291.7427599733046</v>
      </c>
      <c r="AD255">
        <f t="shared" si="47"/>
        <v>2252.9433274453913</v>
      </c>
      <c r="AE255">
        <f t="shared" si="42"/>
        <v>961.20056747208673</v>
      </c>
      <c r="AF255">
        <f t="shared" si="48"/>
        <v>447748.16930798028</v>
      </c>
      <c r="AG255">
        <f t="shared" si="49"/>
        <v>108728.83257103153</v>
      </c>
      <c r="AO255">
        <f t="shared" si="50"/>
        <v>247</v>
      </c>
      <c r="AP255">
        <f t="shared" si="51"/>
        <v>0</v>
      </c>
      <c r="AQ255">
        <f t="shared" si="52"/>
        <v>0</v>
      </c>
      <c r="AR255">
        <f t="shared" si="53"/>
        <v>0</v>
      </c>
      <c r="AS255">
        <f t="shared" si="43"/>
        <v>0</v>
      </c>
      <c r="AT255">
        <f t="shared" si="54"/>
        <v>250155.11224442557</v>
      </c>
      <c r="AU255">
        <f t="shared" si="55"/>
        <v>279999.99999999988</v>
      </c>
    </row>
    <row r="256" spans="27:47" ht="14.4">
      <c r="AA256">
        <f t="shared" si="44"/>
        <v>248</v>
      </c>
      <c r="AB256">
        <f t="shared" si="45"/>
        <v>170302.75785724042</v>
      </c>
      <c r="AC256">
        <f t="shared" si="46"/>
        <v>1284.5337557172641</v>
      </c>
      <c r="AD256">
        <f t="shared" si="47"/>
        <v>2252.9433274453913</v>
      </c>
      <c r="AE256">
        <f t="shared" si="42"/>
        <v>968.40957172812728</v>
      </c>
      <c r="AF256">
        <f t="shared" si="48"/>
        <v>449032.70306369755</v>
      </c>
      <c r="AG256">
        <f t="shared" si="49"/>
        <v>109697.24214275966</v>
      </c>
      <c r="AO256">
        <f t="shared" si="50"/>
        <v>248</v>
      </c>
      <c r="AP256">
        <f t="shared" si="51"/>
        <v>0</v>
      </c>
      <c r="AQ256">
        <f t="shared" si="52"/>
        <v>0</v>
      </c>
      <c r="AR256">
        <f t="shared" si="53"/>
        <v>0</v>
      </c>
      <c r="AS256">
        <f t="shared" si="43"/>
        <v>0</v>
      </c>
      <c r="AT256">
        <f t="shared" si="54"/>
        <v>250155.11224442557</v>
      </c>
      <c r="AU256">
        <f t="shared" si="55"/>
        <v>279999.99999999988</v>
      </c>
    </row>
    <row r="257" spans="27:47" ht="14.4">
      <c r="AA257">
        <f t="shared" si="44"/>
        <v>249</v>
      </c>
      <c r="AB257">
        <f t="shared" si="45"/>
        <v>169327.08521372432</v>
      </c>
      <c r="AC257">
        <f t="shared" si="46"/>
        <v>1277.270683929303</v>
      </c>
      <c r="AD257">
        <f t="shared" si="47"/>
        <v>2252.9433274453913</v>
      </c>
      <c r="AE257">
        <f t="shared" si="42"/>
        <v>975.67264351608833</v>
      </c>
      <c r="AF257">
        <f t="shared" si="48"/>
        <v>450309.97374762688</v>
      </c>
      <c r="AG257">
        <f t="shared" si="49"/>
        <v>110672.91478627574</v>
      </c>
      <c r="AO257">
        <f t="shared" si="50"/>
        <v>249</v>
      </c>
      <c r="AP257">
        <f t="shared" si="51"/>
        <v>0</v>
      </c>
      <c r="AQ257">
        <f t="shared" si="52"/>
        <v>0</v>
      </c>
      <c r="AR257">
        <f t="shared" si="53"/>
        <v>0</v>
      </c>
      <c r="AS257">
        <f t="shared" si="43"/>
        <v>0</v>
      </c>
      <c r="AT257">
        <f t="shared" si="54"/>
        <v>250155.11224442557</v>
      </c>
      <c r="AU257">
        <f t="shared" si="55"/>
        <v>279999.99999999988</v>
      </c>
    </row>
    <row r="258" spans="27:47" ht="14.4">
      <c r="AA258">
        <f t="shared" si="44"/>
        <v>250</v>
      </c>
      <c r="AB258">
        <f t="shared" si="45"/>
        <v>168344.09502538186</v>
      </c>
      <c r="AC258">
        <f t="shared" si="46"/>
        <v>1269.9531391029323</v>
      </c>
      <c r="AD258">
        <f t="shared" si="47"/>
        <v>2252.9433274453913</v>
      </c>
      <c r="AE258">
        <f t="shared" si="42"/>
        <v>982.99018834245908</v>
      </c>
      <c r="AF258">
        <f t="shared" si="48"/>
        <v>451579.92688672984</v>
      </c>
      <c r="AG258">
        <f t="shared" si="49"/>
        <v>111655.9049746182</v>
      </c>
      <c r="AO258">
        <f t="shared" si="50"/>
        <v>250</v>
      </c>
      <c r="AP258">
        <f t="shared" si="51"/>
        <v>0</v>
      </c>
      <c r="AQ258">
        <f t="shared" si="52"/>
        <v>0</v>
      </c>
      <c r="AR258">
        <f t="shared" si="53"/>
        <v>0</v>
      </c>
      <c r="AS258">
        <f t="shared" si="43"/>
        <v>0</v>
      </c>
      <c r="AT258">
        <f t="shared" si="54"/>
        <v>250155.11224442557</v>
      </c>
      <c r="AU258">
        <f t="shared" si="55"/>
        <v>279999.99999999988</v>
      </c>
    </row>
    <row r="259" spans="27:47" ht="14.4">
      <c r="AA259">
        <f t="shared" si="44"/>
        <v>251</v>
      </c>
      <c r="AB259">
        <f t="shared" si="45"/>
        <v>167353.73241062684</v>
      </c>
      <c r="AC259">
        <f t="shared" si="46"/>
        <v>1262.580712690364</v>
      </c>
      <c r="AD259">
        <f t="shared" si="47"/>
        <v>2252.9433274453913</v>
      </c>
      <c r="AE259">
        <f t="shared" si="42"/>
        <v>990.36261475502738</v>
      </c>
      <c r="AF259">
        <f t="shared" si="48"/>
        <v>452842.50759942021</v>
      </c>
      <c r="AG259">
        <f t="shared" si="49"/>
        <v>112646.26758937322</v>
      </c>
      <c r="AO259">
        <f t="shared" si="50"/>
        <v>251</v>
      </c>
      <c r="AP259">
        <f t="shared" si="51"/>
        <v>0</v>
      </c>
      <c r="AQ259">
        <f t="shared" si="52"/>
        <v>0</v>
      </c>
      <c r="AR259">
        <f t="shared" si="53"/>
        <v>0</v>
      </c>
      <c r="AS259">
        <f t="shared" si="43"/>
        <v>0</v>
      </c>
      <c r="AT259">
        <f t="shared" si="54"/>
        <v>250155.11224442557</v>
      </c>
      <c r="AU259">
        <f t="shared" si="55"/>
        <v>279999.99999999988</v>
      </c>
    </row>
    <row r="260" spans="27:47" ht="14.4">
      <c r="AA260">
        <f t="shared" si="44"/>
        <v>252</v>
      </c>
      <c r="AB260">
        <f t="shared" si="45"/>
        <v>166355.94207626116</v>
      </c>
      <c r="AC260">
        <f t="shared" si="46"/>
        <v>1255.1529930797012</v>
      </c>
      <c r="AD260">
        <f t="shared" si="47"/>
        <v>2252.9433274453913</v>
      </c>
      <c r="AE260">
        <f t="shared" si="42"/>
        <v>997.79033436569011</v>
      </c>
      <c r="AF260">
        <f t="shared" si="48"/>
        <v>454097.66059249989</v>
      </c>
      <c r="AG260">
        <f t="shared" si="49"/>
        <v>113644.05792373892</v>
      </c>
      <c r="AO260">
        <f t="shared" si="50"/>
        <v>252</v>
      </c>
      <c r="AP260">
        <f t="shared" si="51"/>
        <v>0</v>
      </c>
      <c r="AQ260">
        <f t="shared" si="52"/>
        <v>0</v>
      </c>
      <c r="AR260">
        <f t="shared" si="53"/>
        <v>0</v>
      </c>
      <c r="AS260">
        <f t="shared" si="43"/>
        <v>0</v>
      </c>
      <c r="AT260">
        <f t="shared" si="54"/>
        <v>250155.11224442557</v>
      </c>
      <c r="AU260">
        <f t="shared" si="55"/>
        <v>279999.99999999988</v>
      </c>
    </row>
    <row r="261" spans="27:47" ht="14.4">
      <c r="AA261">
        <f t="shared" si="44"/>
        <v>253</v>
      </c>
      <c r="AB261">
        <f t="shared" si="45"/>
        <v>165350.66831438773</v>
      </c>
      <c r="AC261">
        <f t="shared" si="46"/>
        <v>1247.6695655719586</v>
      </c>
      <c r="AD261">
        <f t="shared" si="47"/>
        <v>2252.9433274453913</v>
      </c>
      <c r="AE261">
        <f t="shared" si="42"/>
        <v>1005.2737618734327</v>
      </c>
      <c r="AF261">
        <f t="shared" si="48"/>
        <v>455345.33015807183</v>
      </c>
      <c r="AG261">
        <f t="shared" si="49"/>
        <v>114649.33168561236</v>
      </c>
      <c r="AO261">
        <f t="shared" si="50"/>
        <v>253</v>
      </c>
      <c r="AP261">
        <f t="shared" si="51"/>
        <v>0</v>
      </c>
      <c r="AQ261">
        <f t="shared" si="52"/>
        <v>0</v>
      </c>
      <c r="AR261">
        <f t="shared" si="53"/>
        <v>0</v>
      </c>
      <c r="AS261">
        <f t="shared" si="43"/>
        <v>0</v>
      </c>
      <c r="AT261">
        <f t="shared" si="54"/>
        <v>250155.11224442557</v>
      </c>
      <c r="AU261">
        <f t="shared" si="55"/>
        <v>279999.99999999988</v>
      </c>
    </row>
    <row r="262" spans="27:47" ht="14.4">
      <c r="AA262">
        <f t="shared" si="44"/>
        <v>254</v>
      </c>
      <c r="AB262">
        <f t="shared" si="45"/>
        <v>164337.85499930024</v>
      </c>
      <c r="AC262">
        <f t="shared" si="46"/>
        <v>1240.1300123579078</v>
      </c>
      <c r="AD262">
        <f t="shared" si="47"/>
        <v>2252.9433274453913</v>
      </c>
      <c r="AE262">
        <f t="shared" si="42"/>
        <v>1012.8133150874835</v>
      </c>
      <c r="AF262">
        <f t="shared" si="48"/>
        <v>456585.46017042972</v>
      </c>
      <c r="AG262">
        <f t="shared" si="49"/>
        <v>115662.14500069983</v>
      </c>
      <c r="AO262">
        <f t="shared" si="50"/>
        <v>254</v>
      </c>
      <c r="AP262">
        <f t="shared" si="51"/>
        <v>0</v>
      </c>
      <c r="AQ262">
        <f t="shared" si="52"/>
        <v>0</v>
      </c>
      <c r="AR262">
        <f t="shared" si="53"/>
        <v>0</v>
      </c>
      <c r="AS262">
        <f t="shared" si="43"/>
        <v>0</v>
      </c>
      <c r="AT262">
        <f t="shared" si="54"/>
        <v>250155.11224442557</v>
      </c>
      <c r="AU262">
        <f t="shared" si="55"/>
        <v>279999.99999999988</v>
      </c>
    </row>
    <row r="263" spans="27:47" ht="14.4">
      <c r="AA263">
        <f t="shared" si="44"/>
        <v>255</v>
      </c>
      <c r="AB263">
        <f t="shared" si="45"/>
        <v>163317.4455843496</v>
      </c>
      <c r="AC263">
        <f t="shared" si="46"/>
        <v>1232.5339124947518</v>
      </c>
      <c r="AD263">
        <f t="shared" si="47"/>
        <v>2252.9433274453913</v>
      </c>
      <c r="AE263">
        <f t="shared" si="42"/>
        <v>1020.4094149506395</v>
      </c>
      <c r="AF263">
        <f t="shared" si="48"/>
        <v>457817.9940829245</v>
      </c>
      <c r="AG263">
        <f t="shared" si="49"/>
        <v>116682.55441565048</v>
      </c>
      <c r="AO263">
        <f t="shared" si="50"/>
        <v>255</v>
      </c>
      <c r="AP263">
        <f t="shared" si="51"/>
        <v>0</v>
      </c>
      <c r="AQ263">
        <f t="shared" si="52"/>
        <v>0</v>
      </c>
      <c r="AR263">
        <f t="shared" si="53"/>
        <v>0</v>
      </c>
      <c r="AS263">
        <f t="shared" si="43"/>
        <v>0</v>
      </c>
      <c r="AT263">
        <f t="shared" si="54"/>
        <v>250155.11224442557</v>
      </c>
      <c r="AU263">
        <f t="shared" si="55"/>
        <v>279999.99999999988</v>
      </c>
    </row>
    <row r="264" spans="27:47" ht="14.4">
      <c r="AA264">
        <f t="shared" si="44"/>
        <v>256</v>
      </c>
      <c r="AB264">
        <f t="shared" si="45"/>
        <v>162289.38309878681</v>
      </c>
      <c r="AC264">
        <f t="shared" si="46"/>
        <v>1224.880841882622</v>
      </c>
      <c r="AD264">
        <f t="shared" si="47"/>
        <v>2252.9433274453913</v>
      </c>
      <c r="AE264">
        <f t="shared" si="42"/>
        <v>1028.0624855627693</v>
      </c>
      <c r="AF264">
        <f t="shared" si="48"/>
        <v>459042.87492480711</v>
      </c>
      <c r="AG264">
        <f t="shared" si="49"/>
        <v>117710.61690121325</v>
      </c>
      <c r="AO264">
        <f t="shared" si="50"/>
        <v>256</v>
      </c>
      <c r="AP264">
        <f t="shared" si="51"/>
        <v>0</v>
      </c>
      <c r="AQ264">
        <f t="shared" si="52"/>
        <v>0</v>
      </c>
      <c r="AR264">
        <f t="shared" si="53"/>
        <v>0</v>
      </c>
      <c r="AS264">
        <f t="shared" si="43"/>
        <v>0</v>
      </c>
      <c r="AT264">
        <f t="shared" si="54"/>
        <v>250155.11224442557</v>
      </c>
      <c r="AU264">
        <f t="shared" si="55"/>
        <v>279999.99999999988</v>
      </c>
    </row>
    <row r="265" spans="27:47" ht="14.4">
      <c r="AA265">
        <f t="shared" si="44"/>
        <v>257</v>
      </c>
      <c r="AB265">
        <f t="shared" si="45"/>
        <v>161253.61014458232</v>
      </c>
      <c r="AC265">
        <f t="shared" si="46"/>
        <v>1217.170373240901</v>
      </c>
      <c r="AD265">
        <f t="shared" si="47"/>
        <v>2252.9433274453913</v>
      </c>
      <c r="AE265">
        <f t="shared" ref="AE265:AE328" si="56">MAX(0,AD265-AC265)</f>
        <v>1035.7729542044904</v>
      </c>
      <c r="AF265">
        <f t="shared" si="48"/>
        <v>460260.045298048</v>
      </c>
      <c r="AG265">
        <f t="shared" si="49"/>
        <v>118746.38985541773</v>
      </c>
      <c r="AO265">
        <f t="shared" si="50"/>
        <v>257</v>
      </c>
      <c r="AP265">
        <f t="shared" si="51"/>
        <v>0</v>
      </c>
      <c r="AQ265">
        <f t="shared" si="52"/>
        <v>0</v>
      </c>
      <c r="AR265">
        <f t="shared" si="53"/>
        <v>0</v>
      </c>
      <c r="AS265">
        <f t="shared" ref="AS265:AS328" si="57">MAX(0,AR265-AQ265)</f>
        <v>0</v>
      </c>
      <c r="AT265">
        <f t="shared" si="54"/>
        <v>250155.11224442557</v>
      </c>
      <c r="AU265">
        <f t="shared" si="55"/>
        <v>279999.99999999988</v>
      </c>
    </row>
    <row r="266" spans="27:47" ht="14.4">
      <c r="AA266">
        <f t="shared" ref="AA266:AA329" si="58">AA265+1</f>
        <v>258</v>
      </c>
      <c r="AB266">
        <f t="shared" ref="AB266:AB329" si="59">MAX(0,AB265-AE266)</f>
        <v>160210.06889322129</v>
      </c>
      <c r="AC266">
        <f t="shared" ref="AC266:AC329" si="60">IF(AB265&lt;=0,0,AB265*$AA$6)</f>
        <v>1209.4020760843673</v>
      </c>
      <c r="AD266">
        <f t="shared" ref="AD266:AD329" si="61">IF(AB265&lt;=0,0,MIN($AC$6,AB265+AC266))</f>
        <v>2252.9433274453913</v>
      </c>
      <c r="AE266">
        <f t="shared" si="56"/>
        <v>1043.541251361024</v>
      </c>
      <c r="AF266">
        <f t="shared" ref="AF266:AF329" si="62">AF265+AC266</f>
        <v>461469.44737413235</v>
      </c>
      <c r="AG266">
        <f t="shared" ref="AG266:AG329" si="63">AG265+AE266</f>
        <v>119789.93110677875</v>
      </c>
      <c r="AO266">
        <f t="shared" ref="AO266:AO329" si="64">AO265+1</f>
        <v>258</v>
      </c>
      <c r="AP266">
        <f t="shared" ref="AP266:AP329" si="65">MAX(0,AP265-AS266)</f>
        <v>0</v>
      </c>
      <c r="AQ266">
        <f t="shared" ref="AQ266:AQ329" si="66">IF(AP265&lt;=0,0,AP265*$AA$6)</f>
        <v>0</v>
      </c>
      <c r="AR266">
        <f t="shared" ref="AR266:AR329" si="67">IF(AP265&lt;=0,0,MIN($AD$6,AP265+AQ266))</f>
        <v>0</v>
      </c>
      <c r="AS266">
        <f t="shared" si="57"/>
        <v>0</v>
      </c>
      <c r="AT266">
        <f t="shared" ref="AT266:AT329" si="68">AT265+AQ266</f>
        <v>250155.11224442557</v>
      </c>
      <c r="AU266">
        <f t="shared" ref="AU266:AU329" si="69">AU265+AS266</f>
        <v>279999.99999999988</v>
      </c>
    </row>
    <row r="267" spans="27:47" ht="14.4">
      <c r="AA267">
        <f t="shared" si="58"/>
        <v>259</v>
      </c>
      <c r="AB267">
        <f t="shared" si="59"/>
        <v>159158.70108247508</v>
      </c>
      <c r="AC267">
        <f t="shared" si="60"/>
        <v>1201.5755166991596</v>
      </c>
      <c r="AD267">
        <f t="shared" si="61"/>
        <v>2252.9433274453913</v>
      </c>
      <c r="AE267">
        <f t="shared" si="56"/>
        <v>1051.3678107462317</v>
      </c>
      <c r="AF267">
        <f t="shared" si="62"/>
        <v>462671.02289083152</v>
      </c>
      <c r="AG267">
        <f t="shared" si="63"/>
        <v>120841.29891752498</v>
      </c>
      <c r="AO267">
        <f t="shared" si="64"/>
        <v>259</v>
      </c>
      <c r="AP267">
        <f t="shared" si="65"/>
        <v>0</v>
      </c>
      <c r="AQ267">
        <f t="shared" si="66"/>
        <v>0</v>
      </c>
      <c r="AR267">
        <f t="shared" si="67"/>
        <v>0</v>
      </c>
      <c r="AS267">
        <f t="shared" si="57"/>
        <v>0</v>
      </c>
      <c r="AT267">
        <f t="shared" si="68"/>
        <v>250155.11224442557</v>
      </c>
      <c r="AU267">
        <f t="shared" si="69"/>
        <v>279999.99999999988</v>
      </c>
    </row>
    <row r="268" spans="27:47" ht="14.4">
      <c r="AA268">
        <f t="shared" si="58"/>
        <v>260</v>
      </c>
      <c r="AB268">
        <f t="shared" si="59"/>
        <v>158099.44801314824</v>
      </c>
      <c r="AC268">
        <f t="shared" si="60"/>
        <v>1193.690258118563</v>
      </c>
      <c r="AD268">
        <f t="shared" si="61"/>
        <v>2252.9433274453913</v>
      </c>
      <c r="AE268">
        <f t="shared" si="56"/>
        <v>1059.2530693268284</v>
      </c>
      <c r="AF268">
        <f t="shared" si="62"/>
        <v>463864.71314895008</v>
      </c>
      <c r="AG268">
        <f t="shared" si="63"/>
        <v>121900.55198685182</v>
      </c>
      <c r="AO268">
        <f t="shared" si="64"/>
        <v>260</v>
      </c>
      <c r="AP268">
        <f t="shared" si="65"/>
        <v>0</v>
      </c>
      <c r="AQ268">
        <f t="shared" si="66"/>
        <v>0</v>
      </c>
      <c r="AR268">
        <f t="shared" si="67"/>
        <v>0</v>
      </c>
      <c r="AS268">
        <f t="shared" si="57"/>
        <v>0</v>
      </c>
      <c r="AT268">
        <f t="shared" si="68"/>
        <v>250155.11224442557</v>
      </c>
      <c r="AU268">
        <f t="shared" si="69"/>
        <v>279999.99999999988</v>
      </c>
    </row>
    <row r="269" spans="27:47" ht="14.4">
      <c r="AA269">
        <f t="shared" si="58"/>
        <v>261</v>
      </c>
      <c r="AB269">
        <f t="shared" si="59"/>
        <v>157032.25054580145</v>
      </c>
      <c r="AC269">
        <f t="shared" si="60"/>
        <v>1185.7458600986117</v>
      </c>
      <c r="AD269">
        <f t="shared" si="61"/>
        <v>2252.9433274453913</v>
      </c>
      <c r="AE269">
        <f t="shared" si="56"/>
        <v>1067.1974673467796</v>
      </c>
      <c r="AF269">
        <f t="shared" si="62"/>
        <v>465050.4590090487</v>
      </c>
      <c r="AG269">
        <f t="shared" si="63"/>
        <v>122967.74945419859</v>
      </c>
      <c r="AO269">
        <f t="shared" si="64"/>
        <v>261</v>
      </c>
      <c r="AP269">
        <f t="shared" si="65"/>
        <v>0</v>
      </c>
      <c r="AQ269">
        <f t="shared" si="66"/>
        <v>0</v>
      </c>
      <c r="AR269">
        <f t="shared" si="67"/>
        <v>0</v>
      </c>
      <c r="AS269">
        <f t="shared" si="57"/>
        <v>0</v>
      </c>
      <c r="AT269">
        <f t="shared" si="68"/>
        <v>250155.11224442557</v>
      </c>
      <c r="AU269">
        <f t="shared" si="69"/>
        <v>279999.99999999988</v>
      </c>
    </row>
    <row r="270" spans="27:47" ht="14.4">
      <c r="AA270">
        <f t="shared" si="58"/>
        <v>262</v>
      </c>
      <c r="AB270">
        <f t="shared" si="59"/>
        <v>155957.04909744958</v>
      </c>
      <c r="AC270">
        <f t="shared" si="60"/>
        <v>1177.7418790935108</v>
      </c>
      <c r="AD270">
        <f t="shared" si="61"/>
        <v>2252.9433274453913</v>
      </c>
      <c r="AE270">
        <f t="shared" si="56"/>
        <v>1075.2014483518806</v>
      </c>
      <c r="AF270">
        <f t="shared" si="62"/>
        <v>466228.20088814222</v>
      </c>
      <c r="AG270">
        <f t="shared" si="63"/>
        <v>124042.95090255048</v>
      </c>
      <c r="AO270">
        <f t="shared" si="64"/>
        <v>262</v>
      </c>
      <c r="AP270">
        <f t="shared" si="65"/>
        <v>0</v>
      </c>
      <c r="AQ270">
        <f t="shared" si="66"/>
        <v>0</v>
      </c>
      <c r="AR270">
        <f t="shared" si="67"/>
        <v>0</v>
      </c>
      <c r="AS270">
        <f t="shared" si="57"/>
        <v>0</v>
      </c>
      <c r="AT270">
        <f t="shared" si="68"/>
        <v>250155.11224442557</v>
      </c>
      <c r="AU270">
        <f t="shared" si="69"/>
        <v>279999.99999999988</v>
      </c>
    </row>
    <row r="271" spans="27:47" ht="14.4">
      <c r="AA271">
        <f t="shared" si="58"/>
        <v>263</v>
      </c>
      <c r="AB271">
        <f t="shared" si="59"/>
        <v>154873.78363823507</v>
      </c>
      <c r="AC271">
        <f t="shared" si="60"/>
        <v>1169.6778682308718</v>
      </c>
      <c r="AD271">
        <f t="shared" si="61"/>
        <v>2252.9433274453913</v>
      </c>
      <c r="AE271">
        <f t="shared" si="56"/>
        <v>1083.2654592145195</v>
      </c>
      <c r="AF271">
        <f t="shared" si="62"/>
        <v>467397.87875637307</v>
      </c>
      <c r="AG271">
        <f t="shared" si="63"/>
        <v>125126.21636176501</v>
      </c>
      <c r="AO271">
        <f t="shared" si="64"/>
        <v>263</v>
      </c>
      <c r="AP271">
        <f t="shared" si="65"/>
        <v>0</v>
      </c>
      <c r="AQ271">
        <f t="shared" si="66"/>
        <v>0</v>
      </c>
      <c r="AR271">
        <f t="shared" si="67"/>
        <v>0</v>
      </c>
      <c r="AS271">
        <f t="shared" si="57"/>
        <v>0</v>
      </c>
      <c r="AT271">
        <f t="shared" si="68"/>
        <v>250155.11224442557</v>
      </c>
      <c r="AU271">
        <f t="shared" si="69"/>
        <v>279999.99999999988</v>
      </c>
    </row>
    <row r="272" spans="27:47" ht="14.4">
      <c r="AA272">
        <f t="shared" si="58"/>
        <v>264</v>
      </c>
      <c r="AB272">
        <f t="shared" si="59"/>
        <v>153782.39368807644</v>
      </c>
      <c r="AC272">
        <f t="shared" si="60"/>
        <v>1161.553377286763</v>
      </c>
      <c r="AD272">
        <f t="shared" si="61"/>
        <v>2252.9433274453913</v>
      </c>
      <c r="AE272">
        <f t="shared" si="56"/>
        <v>1091.3899501586284</v>
      </c>
      <c r="AF272">
        <f t="shared" si="62"/>
        <v>468559.43213365984</v>
      </c>
      <c r="AG272">
        <f t="shared" si="63"/>
        <v>126217.60631192364</v>
      </c>
      <c r="AO272">
        <f t="shared" si="64"/>
        <v>264</v>
      </c>
      <c r="AP272">
        <f t="shared" si="65"/>
        <v>0</v>
      </c>
      <c r="AQ272">
        <f t="shared" si="66"/>
        <v>0</v>
      </c>
      <c r="AR272">
        <f t="shared" si="67"/>
        <v>0</v>
      </c>
      <c r="AS272">
        <f t="shared" si="57"/>
        <v>0</v>
      </c>
      <c r="AT272">
        <f t="shared" si="68"/>
        <v>250155.11224442557</v>
      </c>
      <c r="AU272">
        <f t="shared" si="69"/>
        <v>279999.99999999988</v>
      </c>
    </row>
    <row r="273" spans="27:47" ht="14.4">
      <c r="AA273">
        <f t="shared" si="58"/>
        <v>265</v>
      </c>
      <c r="AB273">
        <f t="shared" si="59"/>
        <v>152682.81831329162</v>
      </c>
      <c r="AC273">
        <f t="shared" si="60"/>
        <v>1153.3679526605733</v>
      </c>
      <c r="AD273">
        <f t="shared" si="61"/>
        <v>2252.9433274453913</v>
      </c>
      <c r="AE273">
        <f t="shared" si="56"/>
        <v>1099.575374784818</v>
      </c>
      <c r="AF273">
        <f t="shared" si="62"/>
        <v>469712.80008632044</v>
      </c>
      <c r="AG273">
        <f t="shared" si="63"/>
        <v>127317.18168670846</v>
      </c>
      <c r="AO273">
        <f t="shared" si="64"/>
        <v>265</v>
      </c>
      <c r="AP273">
        <f t="shared" si="65"/>
        <v>0</v>
      </c>
      <c r="AQ273">
        <f t="shared" si="66"/>
        <v>0</v>
      </c>
      <c r="AR273">
        <f t="shared" si="67"/>
        <v>0</v>
      </c>
      <c r="AS273">
        <f t="shared" si="57"/>
        <v>0</v>
      </c>
      <c r="AT273">
        <f t="shared" si="68"/>
        <v>250155.11224442557</v>
      </c>
      <c r="AU273">
        <f t="shared" si="69"/>
        <v>279999.99999999988</v>
      </c>
    </row>
    <row r="274" spans="27:47" ht="14.4">
      <c r="AA274">
        <f t="shared" si="58"/>
        <v>266</v>
      </c>
      <c r="AB274">
        <f t="shared" si="59"/>
        <v>151574.99612319592</v>
      </c>
      <c r="AC274">
        <f t="shared" si="60"/>
        <v>1145.1211373496872</v>
      </c>
      <c r="AD274">
        <f t="shared" si="61"/>
        <v>2252.9433274453913</v>
      </c>
      <c r="AE274">
        <f t="shared" si="56"/>
        <v>1107.8221900957042</v>
      </c>
      <c r="AF274">
        <f t="shared" si="62"/>
        <v>470857.92122367013</v>
      </c>
      <c r="AG274">
        <f t="shared" si="63"/>
        <v>128425.00387680416</v>
      </c>
      <c r="AO274">
        <f t="shared" si="64"/>
        <v>266</v>
      </c>
      <c r="AP274">
        <f t="shared" si="65"/>
        <v>0</v>
      </c>
      <c r="AQ274">
        <f t="shared" si="66"/>
        <v>0</v>
      </c>
      <c r="AR274">
        <f t="shared" si="67"/>
        <v>0</v>
      </c>
      <c r="AS274">
        <f t="shared" si="57"/>
        <v>0</v>
      </c>
      <c r="AT274">
        <f t="shared" si="68"/>
        <v>250155.11224442557</v>
      </c>
      <c r="AU274">
        <f t="shared" si="69"/>
        <v>279999.99999999988</v>
      </c>
    </row>
    <row r="275" spans="27:47" ht="14.4">
      <c r="AA275">
        <f t="shared" si="58"/>
        <v>267</v>
      </c>
      <c r="AB275">
        <f t="shared" si="59"/>
        <v>150458.86526667449</v>
      </c>
      <c r="AC275">
        <f t="shared" si="60"/>
        <v>1136.8124709239694</v>
      </c>
      <c r="AD275">
        <f t="shared" si="61"/>
        <v>2252.9433274453913</v>
      </c>
      <c r="AE275">
        <f t="shared" si="56"/>
        <v>1116.1308565214219</v>
      </c>
      <c r="AF275">
        <f t="shared" si="62"/>
        <v>471994.73369459412</v>
      </c>
      <c r="AG275">
        <f t="shared" si="63"/>
        <v>129541.13473332558</v>
      </c>
      <c r="AO275">
        <f t="shared" si="64"/>
        <v>267</v>
      </c>
      <c r="AP275">
        <f t="shared" si="65"/>
        <v>0</v>
      </c>
      <c r="AQ275">
        <f t="shared" si="66"/>
        <v>0</v>
      </c>
      <c r="AR275">
        <f t="shared" si="67"/>
        <v>0</v>
      </c>
      <c r="AS275">
        <f t="shared" si="57"/>
        <v>0</v>
      </c>
      <c r="AT275">
        <f t="shared" si="68"/>
        <v>250155.11224442557</v>
      </c>
      <c r="AU275">
        <f t="shared" si="69"/>
        <v>279999.99999999988</v>
      </c>
    </row>
    <row r="276" spans="27:47" ht="14.4">
      <c r="AA276">
        <f t="shared" si="58"/>
        <v>268</v>
      </c>
      <c r="AB276">
        <f t="shared" si="59"/>
        <v>149334.36342872915</v>
      </c>
      <c r="AC276">
        <f t="shared" si="60"/>
        <v>1128.4414895000587</v>
      </c>
      <c r="AD276">
        <f t="shared" si="61"/>
        <v>2252.9433274453913</v>
      </c>
      <c r="AE276">
        <f t="shared" si="56"/>
        <v>1124.5018379453327</v>
      </c>
      <c r="AF276">
        <f t="shared" si="62"/>
        <v>473123.17518409417</v>
      </c>
      <c r="AG276">
        <f t="shared" si="63"/>
        <v>130665.63657127092</v>
      </c>
      <c r="AO276">
        <f t="shared" si="64"/>
        <v>268</v>
      </c>
      <c r="AP276">
        <f t="shared" si="65"/>
        <v>0</v>
      </c>
      <c r="AQ276">
        <f t="shared" si="66"/>
        <v>0</v>
      </c>
      <c r="AR276">
        <f t="shared" si="67"/>
        <v>0</v>
      </c>
      <c r="AS276">
        <f t="shared" si="57"/>
        <v>0</v>
      </c>
      <c r="AT276">
        <f t="shared" si="68"/>
        <v>250155.11224442557</v>
      </c>
      <c r="AU276">
        <f t="shared" si="69"/>
        <v>279999.99999999988</v>
      </c>
    </row>
    <row r="277" spans="27:47" ht="14.4">
      <c r="AA277">
        <f t="shared" si="58"/>
        <v>269</v>
      </c>
      <c r="AB277">
        <f t="shared" si="59"/>
        <v>148201.42782699922</v>
      </c>
      <c r="AC277">
        <f t="shared" si="60"/>
        <v>1120.0077257154685</v>
      </c>
      <c r="AD277">
        <f t="shared" si="61"/>
        <v>2252.9433274453913</v>
      </c>
      <c r="AE277">
        <f t="shared" si="56"/>
        <v>1132.9356017299228</v>
      </c>
      <c r="AF277">
        <f t="shared" si="62"/>
        <v>474243.18290980964</v>
      </c>
      <c r="AG277">
        <f t="shared" si="63"/>
        <v>131798.57217300084</v>
      </c>
      <c r="AO277">
        <f t="shared" si="64"/>
        <v>269</v>
      </c>
      <c r="AP277">
        <f t="shared" si="65"/>
        <v>0</v>
      </c>
      <c r="AQ277">
        <f t="shared" si="66"/>
        <v>0</v>
      </c>
      <c r="AR277">
        <f t="shared" si="67"/>
        <v>0</v>
      </c>
      <c r="AS277">
        <f t="shared" si="57"/>
        <v>0</v>
      </c>
      <c r="AT277">
        <f t="shared" si="68"/>
        <v>250155.11224442557</v>
      </c>
      <c r="AU277">
        <f t="shared" si="69"/>
        <v>279999.99999999988</v>
      </c>
    </row>
    <row r="278" spans="27:47" ht="14.4">
      <c r="AA278">
        <f t="shared" si="58"/>
        <v>270</v>
      </c>
      <c r="AB278">
        <f t="shared" si="59"/>
        <v>147059.99520825632</v>
      </c>
      <c r="AC278">
        <f t="shared" si="60"/>
        <v>1111.5107087024942</v>
      </c>
      <c r="AD278">
        <f t="shared" si="61"/>
        <v>2252.9433274453913</v>
      </c>
      <c r="AE278">
        <f t="shared" si="56"/>
        <v>1141.4326187428971</v>
      </c>
      <c r="AF278">
        <f t="shared" si="62"/>
        <v>475354.69361851213</v>
      </c>
      <c r="AG278">
        <f t="shared" si="63"/>
        <v>132940.00479174373</v>
      </c>
      <c r="AO278">
        <f t="shared" si="64"/>
        <v>270</v>
      </c>
      <c r="AP278">
        <f t="shared" si="65"/>
        <v>0</v>
      </c>
      <c r="AQ278">
        <f t="shared" si="66"/>
        <v>0</v>
      </c>
      <c r="AR278">
        <f t="shared" si="67"/>
        <v>0</v>
      </c>
      <c r="AS278">
        <f t="shared" si="57"/>
        <v>0</v>
      </c>
      <c r="AT278">
        <f t="shared" si="68"/>
        <v>250155.11224442557</v>
      </c>
      <c r="AU278">
        <f t="shared" si="69"/>
        <v>279999.99999999988</v>
      </c>
    </row>
    <row r="279" spans="27:47" ht="14.4">
      <c r="AA279">
        <f t="shared" si="58"/>
        <v>271</v>
      </c>
      <c r="AB279">
        <f t="shared" si="59"/>
        <v>145910.00184487287</v>
      </c>
      <c r="AC279">
        <f t="shared" si="60"/>
        <v>1102.9499640619224</v>
      </c>
      <c r="AD279">
        <f t="shared" si="61"/>
        <v>2252.9433274453913</v>
      </c>
      <c r="AE279">
        <f t="shared" si="56"/>
        <v>1149.9933633834689</v>
      </c>
      <c r="AF279">
        <f t="shared" si="62"/>
        <v>476457.64358257403</v>
      </c>
      <c r="AG279">
        <f t="shared" si="63"/>
        <v>134089.99815512719</v>
      </c>
      <c r="AO279">
        <f t="shared" si="64"/>
        <v>271</v>
      </c>
      <c r="AP279">
        <f t="shared" si="65"/>
        <v>0</v>
      </c>
      <c r="AQ279">
        <f t="shared" si="66"/>
        <v>0</v>
      </c>
      <c r="AR279">
        <f t="shared" si="67"/>
        <v>0</v>
      </c>
      <c r="AS279">
        <f t="shared" si="57"/>
        <v>0</v>
      </c>
      <c r="AT279">
        <f t="shared" si="68"/>
        <v>250155.11224442557</v>
      </c>
      <c r="AU279">
        <f t="shared" si="69"/>
        <v>279999.99999999988</v>
      </c>
    </row>
    <row r="280" spans="27:47" ht="14.4">
      <c r="AA280">
        <f t="shared" si="58"/>
        <v>272</v>
      </c>
      <c r="AB280">
        <f t="shared" si="59"/>
        <v>144751.38353126403</v>
      </c>
      <c r="AC280">
        <f t="shared" si="60"/>
        <v>1094.3250138365465</v>
      </c>
      <c r="AD280">
        <f t="shared" si="61"/>
        <v>2252.9433274453913</v>
      </c>
      <c r="AE280">
        <f t="shared" si="56"/>
        <v>1158.6183136088448</v>
      </c>
      <c r="AF280">
        <f t="shared" si="62"/>
        <v>477551.96859641059</v>
      </c>
      <c r="AG280">
        <f t="shared" si="63"/>
        <v>135248.61646873603</v>
      </c>
      <c r="AO280">
        <f t="shared" si="64"/>
        <v>272</v>
      </c>
      <c r="AP280">
        <f t="shared" si="65"/>
        <v>0</v>
      </c>
      <c r="AQ280">
        <f t="shared" si="66"/>
        <v>0</v>
      </c>
      <c r="AR280">
        <f t="shared" si="67"/>
        <v>0</v>
      </c>
      <c r="AS280">
        <f t="shared" si="57"/>
        <v>0</v>
      </c>
      <c r="AT280">
        <f t="shared" si="68"/>
        <v>250155.11224442557</v>
      </c>
      <c r="AU280">
        <f t="shared" si="69"/>
        <v>279999.99999999988</v>
      </c>
    </row>
    <row r="281" spans="27:47" ht="14.4">
      <c r="AA281">
        <f t="shared" si="58"/>
        <v>273</v>
      </c>
      <c r="AB281">
        <f t="shared" si="59"/>
        <v>143584.07558030312</v>
      </c>
      <c r="AC281">
        <f t="shared" si="60"/>
        <v>1085.6353764844803</v>
      </c>
      <c r="AD281">
        <f t="shared" si="61"/>
        <v>2252.9433274453913</v>
      </c>
      <c r="AE281">
        <f t="shared" si="56"/>
        <v>1167.3079509609111</v>
      </c>
      <c r="AF281">
        <f t="shared" si="62"/>
        <v>478637.60397289507</v>
      </c>
      <c r="AG281">
        <f t="shared" si="63"/>
        <v>136415.92441969694</v>
      </c>
      <c r="AO281">
        <f t="shared" si="64"/>
        <v>273</v>
      </c>
      <c r="AP281">
        <f t="shared" si="65"/>
        <v>0</v>
      </c>
      <c r="AQ281">
        <f t="shared" si="66"/>
        <v>0</v>
      </c>
      <c r="AR281">
        <f t="shared" si="67"/>
        <v>0</v>
      </c>
      <c r="AS281">
        <f t="shared" si="57"/>
        <v>0</v>
      </c>
      <c r="AT281">
        <f t="shared" si="68"/>
        <v>250155.11224442557</v>
      </c>
      <c r="AU281">
        <f t="shared" si="69"/>
        <v>279999.99999999988</v>
      </c>
    </row>
    <row r="282" spans="27:47" ht="14.4">
      <c r="AA282">
        <f t="shared" si="58"/>
        <v>274</v>
      </c>
      <c r="AB282">
        <f t="shared" si="59"/>
        <v>142408.01281971001</v>
      </c>
      <c r="AC282">
        <f t="shared" si="60"/>
        <v>1076.8805668522734</v>
      </c>
      <c r="AD282">
        <f t="shared" si="61"/>
        <v>2252.9433274453913</v>
      </c>
      <c r="AE282">
        <f t="shared" si="56"/>
        <v>1176.0627605931179</v>
      </c>
      <c r="AF282">
        <f t="shared" si="62"/>
        <v>479714.48453974735</v>
      </c>
      <c r="AG282">
        <f t="shared" si="63"/>
        <v>137591.98718029005</v>
      </c>
      <c r="AO282">
        <f t="shared" si="64"/>
        <v>274</v>
      </c>
      <c r="AP282">
        <f t="shared" si="65"/>
        <v>0</v>
      </c>
      <c r="AQ282">
        <f t="shared" si="66"/>
        <v>0</v>
      </c>
      <c r="AR282">
        <f t="shared" si="67"/>
        <v>0</v>
      </c>
      <c r="AS282">
        <f t="shared" si="57"/>
        <v>0</v>
      </c>
      <c r="AT282">
        <f t="shared" si="68"/>
        <v>250155.11224442557</v>
      </c>
      <c r="AU282">
        <f t="shared" si="69"/>
        <v>279999.99999999988</v>
      </c>
    </row>
    <row r="283" spans="27:47" ht="14.4">
      <c r="AA283">
        <f t="shared" si="58"/>
        <v>275</v>
      </c>
      <c r="AB283">
        <f t="shared" si="59"/>
        <v>141223.12958841244</v>
      </c>
      <c r="AC283">
        <f t="shared" si="60"/>
        <v>1068.0600961478251</v>
      </c>
      <c r="AD283">
        <f t="shared" si="61"/>
        <v>2252.9433274453913</v>
      </c>
      <c r="AE283">
        <f t="shared" si="56"/>
        <v>1184.8832312975662</v>
      </c>
      <c r="AF283">
        <f t="shared" si="62"/>
        <v>480782.54463589517</v>
      </c>
      <c r="AG283">
        <f t="shared" si="63"/>
        <v>138776.87041158762</v>
      </c>
      <c r="AO283">
        <f t="shared" si="64"/>
        <v>275</v>
      </c>
      <c r="AP283">
        <f t="shared" si="65"/>
        <v>0</v>
      </c>
      <c r="AQ283">
        <f t="shared" si="66"/>
        <v>0</v>
      </c>
      <c r="AR283">
        <f t="shared" si="67"/>
        <v>0</v>
      </c>
      <c r="AS283">
        <f t="shared" si="57"/>
        <v>0</v>
      </c>
      <c r="AT283">
        <f t="shared" si="68"/>
        <v>250155.11224442557</v>
      </c>
      <c r="AU283">
        <f t="shared" si="69"/>
        <v>279999.99999999988</v>
      </c>
    </row>
    <row r="284" spans="27:47" ht="14.4">
      <c r="AA284">
        <f t="shared" si="58"/>
        <v>276</v>
      </c>
      <c r="AB284">
        <f t="shared" si="59"/>
        <v>140029.35973288014</v>
      </c>
      <c r="AC284">
        <f t="shared" si="60"/>
        <v>1059.1734719130932</v>
      </c>
      <c r="AD284">
        <f t="shared" si="61"/>
        <v>2252.9433274453913</v>
      </c>
      <c r="AE284">
        <f t="shared" si="56"/>
        <v>1193.7698555322982</v>
      </c>
      <c r="AF284">
        <f t="shared" si="62"/>
        <v>481841.71810780826</v>
      </c>
      <c r="AG284">
        <f t="shared" si="63"/>
        <v>139970.64026711992</v>
      </c>
      <c r="AO284">
        <f t="shared" si="64"/>
        <v>276</v>
      </c>
      <c r="AP284">
        <f t="shared" si="65"/>
        <v>0</v>
      </c>
      <c r="AQ284">
        <f t="shared" si="66"/>
        <v>0</v>
      </c>
      <c r="AR284">
        <f t="shared" si="67"/>
        <v>0</v>
      </c>
      <c r="AS284">
        <f t="shared" si="57"/>
        <v>0</v>
      </c>
      <c r="AT284">
        <f t="shared" si="68"/>
        <v>250155.11224442557</v>
      </c>
      <c r="AU284">
        <f t="shared" si="69"/>
        <v>279999.99999999988</v>
      </c>
    </row>
    <row r="285" spans="27:47" ht="14.4">
      <c r="AA285">
        <f t="shared" si="58"/>
        <v>277</v>
      </c>
      <c r="AB285">
        <f t="shared" si="59"/>
        <v>138826.63660343134</v>
      </c>
      <c r="AC285">
        <f t="shared" si="60"/>
        <v>1050.220197996601</v>
      </c>
      <c r="AD285">
        <f t="shared" si="61"/>
        <v>2252.9433274453913</v>
      </c>
      <c r="AE285">
        <f t="shared" si="56"/>
        <v>1202.7231294487904</v>
      </c>
      <c r="AF285">
        <f t="shared" si="62"/>
        <v>482891.93830580486</v>
      </c>
      <c r="AG285">
        <f t="shared" si="63"/>
        <v>141173.36339656872</v>
      </c>
      <c r="AO285">
        <f t="shared" si="64"/>
        <v>277</v>
      </c>
      <c r="AP285">
        <f t="shared" si="65"/>
        <v>0</v>
      </c>
      <c r="AQ285">
        <f t="shared" si="66"/>
        <v>0</v>
      </c>
      <c r="AR285">
        <f t="shared" si="67"/>
        <v>0</v>
      </c>
      <c r="AS285">
        <f t="shared" si="57"/>
        <v>0</v>
      </c>
      <c r="AT285">
        <f t="shared" si="68"/>
        <v>250155.11224442557</v>
      </c>
      <c r="AU285">
        <f t="shared" si="69"/>
        <v>279999.99999999988</v>
      </c>
    </row>
    <row r="286" spans="27:47" ht="14.4">
      <c r="AA286">
        <f t="shared" si="58"/>
        <v>278</v>
      </c>
      <c r="AB286">
        <f t="shared" si="59"/>
        <v>137614.89305051169</v>
      </c>
      <c r="AC286">
        <f t="shared" si="60"/>
        <v>1041.1997745257349</v>
      </c>
      <c r="AD286">
        <f t="shared" si="61"/>
        <v>2252.9433274453913</v>
      </c>
      <c r="AE286">
        <f t="shared" si="56"/>
        <v>1211.7435529196564</v>
      </c>
      <c r="AF286">
        <f t="shared" si="62"/>
        <v>483933.13808033057</v>
      </c>
      <c r="AG286">
        <f t="shared" si="63"/>
        <v>142385.10694948837</v>
      </c>
      <c r="AO286">
        <f t="shared" si="64"/>
        <v>278</v>
      </c>
      <c r="AP286">
        <f t="shared" si="65"/>
        <v>0</v>
      </c>
      <c r="AQ286">
        <f t="shared" si="66"/>
        <v>0</v>
      </c>
      <c r="AR286">
        <f t="shared" si="67"/>
        <v>0</v>
      </c>
      <c r="AS286">
        <f t="shared" si="57"/>
        <v>0</v>
      </c>
      <c r="AT286">
        <f t="shared" si="68"/>
        <v>250155.11224442557</v>
      </c>
      <c r="AU286">
        <f t="shared" si="69"/>
        <v>279999.99999999988</v>
      </c>
    </row>
    <row r="287" spans="27:47" ht="14.4">
      <c r="AA287">
        <f t="shared" si="58"/>
        <v>279</v>
      </c>
      <c r="AB287">
        <f t="shared" si="59"/>
        <v>136394.06142094513</v>
      </c>
      <c r="AC287">
        <f t="shared" si="60"/>
        <v>1032.1116978788377</v>
      </c>
      <c r="AD287">
        <f t="shared" si="61"/>
        <v>2252.9433274453913</v>
      </c>
      <c r="AE287">
        <f t="shared" si="56"/>
        <v>1220.8316295665536</v>
      </c>
      <c r="AF287">
        <f t="shared" si="62"/>
        <v>484965.24977820943</v>
      </c>
      <c r="AG287">
        <f t="shared" si="63"/>
        <v>143605.93857905493</v>
      </c>
      <c r="AO287">
        <f t="shared" si="64"/>
        <v>279</v>
      </c>
      <c r="AP287">
        <f t="shared" si="65"/>
        <v>0</v>
      </c>
      <c r="AQ287">
        <f t="shared" si="66"/>
        <v>0</v>
      </c>
      <c r="AR287">
        <f t="shared" si="67"/>
        <v>0</v>
      </c>
      <c r="AS287">
        <f t="shared" si="57"/>
        <v>0</v>
      </c>
      <c r="AT287">
        <f t="shared" si="68"/>
        <v>250155.11224442557</v>
      </c>
      <c r="AU287">
        <f t="shared" si="69"/>
        <v>279999.99999999988</v>
      </c>
    </row>
    <row r="288" spans="27:47" ht="14.4">
      <c r="AA288">
        <f t="shared" si="58"/>
        <v>280</v>
      </c>
      <c r="AB288">
        <f t="shared" si="59"/>
        <v>135164.07355415681</v>
      </c>
      <c r="AC288">
        <f t="shared" si="60"/>
        <v>1022.9554606570885</v>
      </c>
      <c r="AD288">
        <f t="shared" si="61"/>
        <v>2252.9433274453913</v>
      </c>
      <c r="AE288">
        <f t="shared" si="56"/>
        <v>1229.9878667883029</v>
      </c>
      <c r="AF288">
        <f t="shared" si="62"/>
        <v>485988.2052388665</v>
      </c>
      <c r="AG288">
        <f t="shared" si="63"/>
        <v>144835.92644584324</v>
      </c>
      <c r="AO288">
        <f t="shared" si="64"/>
        <v>280</v>
      </c>
      <c r="AP288">
        <f t="shared" si="65"/>
        <v>0</v>
      </c>
      <c r="AQ288">
        <f t="shared" si="66"/>
        <v>0</v>
      </c>
      <c r="AR288">
        <f t="shared" si="67"/>
        <v>0</v>
      </c>
      <c r="AS288">
        <f t="shared" si="57"/>
        <v>0</v>
      </c>
      <c r="AT288">
        <f t="shared" si="68"/>
        <v>250155.11224442557</v>
      </c>
      <c r="AU288">
        <f t="shared" si="69"/>
        <v>279999.99999999988</v>
      </c>
    </row>
    <row r="289" spans="27:47" ht="14.4">
      <c r="AA289">
        <f t="shared" si="58"/>
        <v>281</v>
      </c>
      <c r="AB289">
        <f t="shared" si="59"/>
        <v>133924.86077836761</v>
      </c>
      <c r="AC289">
        <f t="shared" si="60"/>
        <v>1013.7305516561761</v>
      </c>
      <c r="AD289">
        <f t="shared" si="61"/>
        <v>2252.9433274453913</v>
      </c>
      <c r="AE289">
        <f t="shared" si="56"/>
        <v>1239.2127757892154</v>
      </c>
      <c r="AF289">
        <f t="shared" si="62"/>
        <v>487001.93579052266</v>
      </c>
      <c r="AG289">
        <f t="shared" si="63"/>
        <v>146075.13922163245</v>
      </c>
      <c r="AO289">
        <f t="shared" si="64"/>
        <v>281</v>
      </c>
      <c r="AP289">
        <f t="shared" si="65"/>
        <v>0</v>
      </c>
      <c r="AQ289">
        <f t="shared" si="66"/>
        <v>0</v>
      </c>
      <c r="AR289">
        <f t="shared" si="67"/>
        <v>0</v>
      </c>
      <c r="AS289">
        <f t="shared" si="57"/>
        <v>0</v>
      </c>
      <c r="AT289">
        <f t="shared" si="68"/>
        <v>250155.11224442557</v>
      </c>
      <c r="AU289">
        <f t="shared" si="69"/>
        <v>279999.99999999988</v>
      </c>
    </row>
    <row r="290" spans="27:47" ht="14.4">
      <c r="AA290">
        <f t="shared" si="58"/>
        <v>282</v>
      </c>
      <c r="AB290">
        <f t="shared" si="59"/>
        <v>132676.35390675999</v>
      </c>
      <c r="AC290">
        <f t="shared" si="60"/>
        <v>1004.4364558377571</v>
      </c>
      <c r="AD290">
        <f t="shared" si="61"/>
        <v>2252.9433274453913</v>
      </c>
      <c r="AE290">
        <f t="shared" si="56"/>
        <v>1248.5068716076344</v>
      </c>
      <c r="AF290">
        <f t="shared" si="62"/>
        <v>488006.37224636041</v>
      </c>
      <c r="AG290">
        <f t="shared" si="63"/>
        <v>147323.64609324007</v>
      </c>
      <c r="AO290">
        <f t="shared" si="64"/>
        <v>282</v>
      </c>
      <c r="AP290">
        <f t="shared" si="65"/>
        <v>0</v>
      </c>
      <c r="AQ290">
        <f t="shared" si="66"/>
        <v>0</v>
      </c>
      <c r="AR290">
        <f t="shared" si="67"/>
        <v>0</v>
      </c>
      <c r="AS290">
        <f t="shared" si="57"/>
        <v>0</v>
      </c>
      <c r="AT290">
        <f t="shared" si="68"/>
        <v>250155.11224442557</v>
      </c>
      <c r="AU290">
        <f t="shared" si="69"/>
        <v>279999.99999999988</v>
      </c>
    </row>
    <row r="291" spans="27:47" ht="14.4">
      <c r="AA291">
        <f t="shared" si="58"/>
        <v>283</v>
      </c>
      <c r="AB291">
        <f t="shared" si="59"/>
        <v>131418.48323361529</v>
      </c>
      <c r="AC291">
        <f t="shared" si="60"/>
        <v>995.07265430069992</v>
      </c>
      <c r="AD291">
        <f t="shared" si="61"/>
        <v>2252.9433274453913</v>
      </c>
      <c r="AE291">
        <f t="shared" si="56"/>
        <v>1257.8706731446914</v>
      </c>
      <c r="AF291">
        <f t="shared" si="62"/>
        <v>489001.44490066112</v>
      </c>
      <c r="AG291">
        <f t="shared" si="63"/>
        <v>148581.51676638477</v>
      </c>
      <c r="AO291">
        <f t="shared" si="64"/>
        <v>283</v>
      </c>
      <c r="AP291">
        <f t="shared" si="65"/>
        <v>0</v>
      </c>
      <c r="AQ291">
        <f t="shared" si="66"/>
        <v>0</v>
      </c>
      <c r="AR291">
        <f t="shared" si="67"/>
        <v>0</v>
      </c>
      <c r="AS291">
        <f t="shared" si="57"/>
        <v>0</v>
      </c>
      <c r="AT291">
        <f t="shared" si="68"/>
        <v>250155.11224442557</v>
      </c>
      <c r="AU291">
        <f t="shared" si="69"/>
        <v>279999.99999999988</v>
      </c>
    </row>
    <row r="292" spans="27:47" ht="14.4">
      <c r="AA292">
        <f t="shared" si="58"/>
        <v>284</v>
      </c>
      <c r="AB292">
        <f t="shared" si="59"/>
        <v>130151.17853042201</v>
      </c>
      <c r="AC292">
        <f t="shared" si="60"/>
        <v>985.6386242521146</v>
      </c>
      <c r="AD292">
        <f t="shared" si="61"/>
        <v>2252.9433274453913</v>
      </c>
      <c r="AE292">
        <f t="shared" si="56"/>
        <v>1267.3047031932767</v>
      </c>
      <c r="AF292">
        <f t="shared" si="62"/>
        <v>489987.08352491324</v>
      </c>
      <c r="AG292">
        <f t="shared" si="63"/>
        <v>149848.82146957805</v>
      </c>
      <c r="AO292">
        <f t="shared" si="64"/>
        <v>284</v>
      </c>
      <c r="AP292">
        <f t="shared" si="65"/>
        <v>0</v>
      </c>
      <c r="AQ292">
        <f t="shared" si="66"/>
        <v>0</v>
      </c>
      <c r="AR292">
        <f t="shared" si="67"/>
        <v>0</v>
      </c>
      <c r="AS292">
        <f t="shared" si="57"/>
        <v>0</v>
      </c>
      <c r="AT292">
        <f t="shared" si="68"/>
        <v>250155.11224442557</v>
      </c>
      <c r="AU292">
        <f t="shared" si="69"/>
        <v>279999.99999999988</v>
      </c>
    </row>
    <row r="293" spans="27:47" ht="14.4">
      <c r="AA293">
        <f t="shared" si="58"/>
        <v>285</v>
      </c>
      <c r="AB293">
        <f t="shared" si="59"/>
        <v>128874.36904195478</v>
      </c>
      <c r="AC293">
        <f t="shared" si="60"/>
        <v>976.13383897816504</v>
      </c>
      <c r="AD293">
        <f t="shared" si="61"/>
        <v>2252.9433274453913</v>
      </c>
      <c r="AE293">
        <f t="shared" si="56"/>
        <v>1276.8094884672264</v>
      </c>
      <c r="AF293">
        <f t="shared" si="62"/>
        <v>490963.21736389142</v>
      </c>
      <c r="AG293">
        <f t="shared" si="63"/>
        <v>151125.63095804528</v>
      </c>
      <c r="AO293">
        <f t="shared" si="64"/>
        <v>285</v>
      </c>
      <c r="AP293">
        <f t="shared" si="65"/>
        <v>0</v>
      </c>
      <c r="AQ293">
        <f t="shared" si="66"/>
        <v>0</v>
      </c>
      <c r="AR293">
        <f t="shared" si="67"/>
        <v>0</v>
      </c>
      <c r="AS293">
        <f t="shared" si="57"/>
        <v>0</v>
      </c>
      <c r="AT293">
        <f t="shared" si="68"/>
        <v>250155.11224442557</v>
      </c>
      <c r="AU293">
        <f t="shared" si="69"/>
        <v>279999.99999999988</v>
      </c>
    </row>
    <row r="294" spans="27:47" ht="14.4">
      <c r="AA294">
        <f t="shared" si="58"/>
        <v>286</v>
      </c>
      <c r="AB294">
        <f t="shared" si="59"/>
        <v>127587.98348232405</v>
      </c>
      <c r="AC294">
        <f t="shared" si="60"/>
        <v>966.55776781466079</v>
      </c>
      <c r="AD294">
        <f t="shared" si="61"/>
        <v>2252.9433274453913</v>
      </c>
      <c r="AE294">
        <f t="shared" si="56"/>
        <v>1286.3855596307305</v>
      </c>
      <c r="AF294">
        <f t="shared" si="62"/>
        <v>491929.77513170609</v>
      </c>
      <c r="AG294">
        <f t="shared" si="63"/>
        <v>152412.01651767601</v>
      </c>
      <c r="AO294">
        <f t="shared" si="64"/>
        <v>286</v>
      </c>
      <c r="AP294">
        <f t="shared" si="65"/>
        <v>0</v>
      </c>
      <c r="AQ294">
        <f t="shared" si="66"/>
        <v>0</v>
      </c>
      <c r="AR294">
        <f t="shared" si="67"/>
        <v>0</v>
      </c>
      <c r="AS294">
        <f t="shared" si="57"/>
        <v>0</v>
      </c>
      <c r="AT294">
        <f t="shared" si="68"/>
        <v>250155.11224442557</v>
      </c>
      <c r="AU294">
        <f t="shared" si="69"/>
        <v>279999.99999999988</v>
      </c>
    </row>
    <row r="295" spans="27:47" ht="14.4">
      <c r="AA295">
        <f t="shared" si="58"/>
        <v>287</v>
      </c>
      <c r="AB295">
        <f t="shared" si="59"/>
        <v>126291.95003099609</v>
      </c>
      <c r="AC295">
        <f t="shared" si="60"/>
        <v>956.90987611743037</v>
      </c>
      <c r="AD295">
        <f t="shared" si="61"/>
        <v>2252.9433274453913</v>
      </c>
      <c r="AE295">
        <f t="shared" si="56"/>
        <v>1296.0334513279608</v>
      </c>
      <c r="AF295">
        <f t="shared" si="62"/>
        <v>492886.68500782351</v>
      </c>
      <c r="AG295">
        <f t="shared" si="63"/>
        <v>153708.04996900397</v>
      </c>
      <c r="AO295">
        <f t="shared" si="64"/>
        <v>287</v>
      </c>
      <c r="AP295">
        <f t="shared" si="65"/>
        <v>0</v>
      </c>
      <c r="AQ295">
        <f t="shared" si="66"/>
        <v>0</v>
      </c>
      <c r="AR295">
        <f t="shared" si="67"/>
        <v>0</v>
      </c>
      <c r="AS295">
        <f t="shared" si="57"/>
        <v>0</v>
      </c>
      <c r="AT295">
        <f t="shared" si="68"/>
        <v>250155.11224442557</v>
      </c>
      <c r="AU295">
        <f t="shared" si="69"/>
        <v>279999.99999999988</v>
      </c>
    </row>
    <row r="296" spans="27:47" ht="14.4">
      <c r="AA296">
        <f t="shared" si="58"/>
        <v>288</v>
      </c>
      <c r="AB296">
        <f t="shared" si="59"/>
        <v>124986.19632878316</v>
      </c>
      <c r="AC296">
        <f t="shared" si="60"/>
        <v>947.18962523247058</v>
      </c>
      <c r="AD296">
        <f t="shared" si="61"/>
        <v>2252.9433274453913</v>
      </c>
      <c r="AE296">
        <f t="shared" si="56"/>
        <v>1305.7537022129209</v>
      </c>
      <c r="AF296">
        <f t="shared" si="62"/>
        <v>493833.874633056</v>
      </c>
      <c r="AG296">
        <f t="shared" si="63"/>
        <v>155013.80367121688</v>
      </c>
      <c r="AO296">
        <f t="shared" si="64"/>
        <v>288</v>
      </c>
      <c r="AP296">
        <f t="shared" si="65"/>
        <v>0</v>
      </c>
      <c r="AQ296">
        <f t="shared" si="66"/>
        <v>0</v>
      </c>
      <c r="AR296">
        <f t="shared" si="67"/>
        <v>0</v>
      </c>
      <c r="AS296">
        <f t="shared" si="57"/>
        <v>0</v>
      </c>
      <c r="AT296">
        <f t="shared" si="68"/>
        <v>250155.11224442557</v>
      </c>
      <c r="AU296">
        <f t="shared" si="69"/>
        <v>279999.99999999988</v>
      </c>
    </row>
    <row r="297" spans="27:47" ht="14.4">
      <c r="AA297">
        <f t="shared" si="58"/>
        <v>289</v>
      </c>
      <c r="AB297">
        <f t="shared" si="59"/>
        <v>123670.64947380364</v>
      </c>
      <c r="AC297">
        <f t="shared" si="60"/>
        <v>937.39647246587367</v>
      </c>
      <c r="AD297">
        <f t="shared" si="61"/>
        <v>2252.9433274453913</v>
      </c>
      <c r="AE297">
        <f t="shared" si="56"/>
        <v>1315.5468549795178</v>
      </c>
      <c r="AF297">
        <f t="shared" si="62"/>
        <v>494771.27110552188</v>
      </c>
      <c r="AG297">
        <f t="shared" si="63"/>
        <v>156329.35052619639</v>
      </c>
      <c r="AO297">
        <f t="shared" si="64"/>
        <v>289</v>
      </c>
      <c r="AP297">
        <f t="shared" si="65"/>
        <v>0</v>
      </c>
      <c r="AQ297">
        <f t="shared" si="66"/>
        <v>0</v>
      </c>
      <c r="AR297">
        <f t="shared" si="67"/>
        <v>0</v>
      </c>
      <c r="AS297">
        <f t="shared" si="57"/>
        <v>0</v>
      </c>
      <c r="AT297">
        <f t="shared" si="68"/>
        <v>250155.11224442557</v>
      </c>
      <c r="AU297">
        <f t="shared" si="69"/>
        <v>279999.99999999988</v>
      </c>
    </row>
    <row r="298" spans="27:47" ht="14.4">
      <c r="AA298">
        <f t="shared" si="58"/>
        <v>290</v>
      </c>
      <c r="AB298">
        <f t="shared" si="59"/>
        <v>122345.23601741178</v>
      </c>
      <c r="AC298">
        <f t="shared" si="60"/>
        <v>927.52987105352724</v>
      </c>
      <c r="AD298">
        <f t="shared" si="61"/>
        <v>2252.9433274453913</v>
      </c>
      <c r="AE298">
        <f t="shared" si="56"/>
        <v>1325.4134563918642</v>
      </c>
      <c r="AF298">
        <f t="shared" si="62"/>
        <v>495698.80097657541</v>
      </c>
      <c r="AG298">
        <f t="shared" si="63"/>
        <v>157654.76398258825</v>
      </c>
      <c r="AO298">
        <f t="shared" si="64"/>
        <v>290</v>
      </c>
      <c r="AP298">
        <f t="shared" si="65"/>
        <v>0</v>
      </c>
      <c r="AQ298">
        <f t="shared" si="66"/>
        <v>0</v>
      </c>
      <c r="AR298">
        <f t="shared" si="67"/>
        <v>0</v>
      </c>
      <c r="AS298">
        <f t="shared" si="57"/>
        <v>0</v>
      </c>
      <c r="AT298">
        <f t="shared" si="68"/>
        <v>250155.11224442557</v>
      </c>
      <c r="AU298">
        <f t="shared" si="69"/>
        <v>279999.99999999988</v>
      </c>
    </row>
    <row r="299" spans="27:47" ht="14.4">
      <c r="AA299">
        <f t="shared" si="58"/>
        <v>291</v>
      </c>
      <c r="AB299">
        <f t="shared" si="59"/>
        <v>121009.88196009697</v>
      </c>
      <c r="AC299">
        <f t="shared" si="60"/>
        <v>917.58927013058826</v>
      </c>
      <c r="AD299">
        <f t="shared" si="61"/>
        <v>2252.9433274453913</v>
      </c>
      <c r="AE299">
        <f t="shared" si="56"/>
        <v>1335.354057314803</v>
      </c>
      <c r="AF299">
        <f t="shared" si="62"/>
        <v>496616.39024670603</v>
      </c>
      <c r="AG299">
        <f t="shared" si="63"/>
        <v>158990.11803990306</v>
      </c>
      <c r="AO299">
        <f t="shared" si="64"/>
        <v>291</v>
      </c>
      <c r="AP299">
        <f t="shared" si="65"/>
        <v>0</v>
      </c>
      <c r="AQ299">
        <f t="shared" si="66"/>
        <v>0</v>
      </c>
      <c r="AR299">
        <f t="shared" si="67"/>
        <v>0</v>
      </c>
      <c r="AS299">
        <f t="shared" si="57"/>
        <v>0</v>
      </c>
      <c r="AT299">
        <f t="shared" si="68"/>
        <v>250155.11224442557</v>
      </c>
      <c r="AU299">
        <f t="shared" si="69"/>
        <v>279999.99999999988</v>
      </c>
    </row>
    <row r="300" spans="27:47" ht="14.4">
      <c r="AA300">
        <f t="shared" si="58"/>
        <v>292</v>
      </c>
      <c r="AB300">
        <f t="shared" si="59"/>
        <v>119664.5127473523</v>
      </c>
      <c r="AC300">
        <f t="shared" si="60"/>
        <v>907.57411470072725</v>
      </c>
      <c r="AD300">
        <f t="shared" si="61"/>
        <v>2252.9433274453913</v>
      </c>
      <c r="AE300">
        <f t="shared" si="56"/>
        <v>1345.3692127446641</v>
      </c>
      <c r="AF300">
        <f t="shared" si="62"/>
        <v>497523.96436140675</v>
      </c>
      <c r="AG300">
        <f t="shared" si="63"/>
        <v>160335.48725264773</v>
      </c>
      <c r="AO300">
        <f t="shared" si="64"/>
        <v>292</v>
      </c>
      <c r="AP300">
        <f t="shared" si="65"/>
        <v>0</v>
      </c>
      <c r="AQ300">
        <f t="shared" si="66"/>
        <v>0</v>
      </c>
      <c r="AR300">
        <f t="shared" si="67"/>
        <v>0</v>
      </c>
      <c r="AS300">
        <f t="shared" si="57"/>
        <v>0</v>
      </c>
      <c r="AT300">
        <f t="shared" si="68"/>
        <v>250155.11224442557</v>
      </c>
      <c r="AU300">
        <f t="shared" si="69"/>
        <v>279999.99999999988</v>
      </c>
    </row>
    <row r="301" spans="27:47" ht="14.4">
      <c r="AA301">
        <f t="shared" si="58"/>
        <v>293</v>
      </c>
      <c r="AB301">
        <f t="shared" si="59"/>
        <v>118309.05326551205</v>
      </c>
      <c r="AC301">
        <f t="shared" si="60"/>
        <v>897.48384560514228</v>
      </c>
      <c r="AD301">
        <f t="shared" si="61"/>
        <v>2252.9433274453913</v>
      </c>
      <c r="AE301">
        <f t="shared" si="56"/>
        <v>1355.4594818402491</v>
      </c>
      <c r="AF301">
        <f t="shared" si="62"/>
        <v>498421.44820701191</v>
      </c>
      <c r="AG301">
        <f t="shared" si="63"/>
        <v>161690.94673448798</v>
      </c>
      <c r="AO301">
        <f t="shared" si="64"/>
        <v>293</v>
      </c>
      <c r="AP301">
        <f t="shared" si="65"/>
        <v>0</v>
      </c>
      <c r="AQ301">
        <f t="shared" si="66"/>
        <v>0</v>
      </c>
      <c r="AR301">
        <f t="shared" si="67"/>
        <v>0</v>
      </c>
      <c r="AS301">
        <f t="shared" si="57"/>
        <v>0</v>
      </c>
      <c r="AT301">
        <f t="shared" si="68"/>
        <v>250155.11224442557</v>
      </c>
      <c r="AU301">
        <f t="shared" si="69"/>
        <v>279999.99999999988</v>
      </c>
    </row>
    <row r="302" spans="27:47" ht="14.4">
      <c r="AA302">
        <f t="shared" si="58"/>
        <v>294</v>
      </c>
      <c r="AB302">
        <f t="shared" si="59"/>
        <v>116943.427837558</v>
      </c>
      <c r="AC302">
        <f t="shared" si="60"/>
        <v>887.31789949134031</v>
      </c>
      <c r="AD302">
        <f t="shared" si="61"/>
        <v>2252.9433274453913</v>
      </c>
      <c r="AE302">
        <f t="shared" si="56"/>
        <v>1365.625427954051</v>
      </c>
      <c r="AF302">
        <f t="shared" si="62"/>
        <v>499308.76610650326</v>
      </c>
      <c r="AG302">
        <f t="shared" si="63"/>
        <v>163056.57216244203</v>
      </c>
      <c r="AO302">
        <f t="shared" si="64"/>
        <v>294</v>
      </c>
      <c r="AP302">
        <f t="shared" si="65"/>
        <v>0</v>
      </c>
      <c r="AQ302">
        <f t="shared" si="66"/>
        <v>0</v>
      </c>
      <c r="AR302">
        <f t="shared" si="67"/>
        <v>0</v>
      </c>
      <c r="AS302">
        <f t="shared" si="57"/>
        <v>0</v>
      </c>
      <c r="AT302">
        <f t="shared" si="68"/>
        <v>250155.11224442557</v>
      </c>
      <c r="AU302">
        <f t="shared" si="69"/>
        <v>279999.99999999988</v>
      </c>
    </row>
    <row r="303" spans="27:47" ht="14.4">
      <c r="AA303">
        <f t="shared" si="58"/>
        <v>295</v>
      </c>
      <c r="AB303">
        <f t="shared" si="59"/>
        <v>115567.5602188943</v>
      </c>
      <c r="AC303">
        <f t="shared" si="60"/>
        <v>877.07570878168497</v>
      </c>
      <c r="AD303">
        <f t="shared" si="61"/>
        <v>2252.9433274453913</v>
      </c>
      <c r="AE303">
        <f t="shared" si="56"/>
        <v>1375.8676186637063</v>
      </c>
      <c r="AF303">
        <f t="shared" si="62"/>
        <v>500185.84181528492</v>
      </c>
      <c r="AG303">
        <f t="shared" si="63"/>
        <v>164432.43978110573</v>
      </c>
      <c r="AO303">
        <f t="shared" si="64"/>
        <v>295</v>
      </c>
      <c r="AP303">
        <f t="shared" si="65"/>
        <v>0</v>
      </c>
      <c r="AQ303">
        <f t="shared" si="66"/>
        <v>0</v>
      </c>
      <c r="AR303">
        <f t="shared" si="67"/>
        <v>0</v>
      </c>
      <c r="AS303">
        <f t="shared" si="57"/>
        <v>0</v>
      </c>
      <c r="AT303">
        <f t="shared" si="68"/>
        <v>250155.11224442557</v>
      </c>
      <c r="AU303">
        <f t="shared" si="69"/>
        <v>279999.99999999988</v>
      </c>
    </row>
    <row r="304" spans="27:47" ht="14.4">
      <c r="AA304">
        <f t="shared" si="58"/>
        <v>296</v>
      </c>
      <c r="AB304">
        <f t="shared" si="59"/>
        <v>114181.37359309061</v>
      </c>
      <c r="AC304">
        <f t="shared" si="60"/>
        <v>866.7567016417072</v>
      </c>
      <c r="AD304">
        <f t="shared" si="61"/>
        <v>2252.9433274453913</v>
      </c>
      <c r="AE304">
        <f t="shared" si="56"/>
        <v>1386.1866258036841</v>
      </c>
      <c r="AF304">
        <f t="shared" si="62"/>
        <v>501052.59851692664</v>
      </c>
      <c r="AG304">
        <f t="shared" si="63"/>
        <v>165818.6264069094</v>
      </c>
      <c r="AO304">
        <f t="shared" si="64"/>
        <v>296</v>
      </c>
      <c r="AP304">
        <f t="shared" si="65"/>
        <v>0</v>
      </c>
      <c r="AQ304">
        <f t="shared" si="66"/>
        <v>0</v>
      </c>
      <c r="AR304">
        <f t="shared" si="67"/>
        <v>0</v>
      </c>
      <c r="AS304">
        <f t="shared" si="57"/>
        <v>0</v>
      </c>
      <c r="AT304">
        <f t="shared" si="68"/>
        <v>250155.11224442557</v>
      </c>
      <c r="AU304">
        <f t="shared" si="69"/>
        <v>279999.99999999988</v>
      </c>
    </row>
    <row r="305" spans="27:47" ht="14.4">
      <c r="AA305">
        <f t="shared" si="58"/>
        <v>297</v>
      </c>
      <c r="AB305">
        <f t="shared" si="59"/>
        <v>112784.7905675934</v>
      </c>
      <c r="AC305">
        <f t="shared" si="60"/>
        <v>856.36030194817954</v>
      </c>
      <c r="AD305">
        <f t="shared" si="61"/>
        <v>2252.9433274453913</v>
      </c>
      <c r="AE305">
        <f t="shared" si="56"/>
        <v>1396.5830254972118</v>
      </c>
      <c r="AF305">
        <f t="shared" si="62"/>
        <v>501908.95881887479</v>
      </c>
      <c r="AG305">
        <f t="shared" si="63"/>
        <v>167215.20943240661</v>
      </c>
      <c r="AO305">
        <f t="shared" si="64"/>
        <v>297</v>
      </c>
      <c r="AP305">
        <f t="shared" si="65"/>
        <v>0</v>
      </c>
      <c r="AQ305">
        <f t="shared" si="66"/>
        <v>0</v>
      </c>
      <c r="AR305">
        <f t="shared" si="67"/>
        <v>0</v>
      </c>
      <c r="AS305">
        <f t="shared" si="57"/>
        <v>0</v>
      </c>
      <c r="AT305">
        <f t="shared" si="68"/>
        <v>250155.11224442557</v>
      </c>
      <c r="AU305">
        <f t="shared" si="69"/>
        <v>279999.99999999988</v>
      </c>
    </row>
    <row r="306" spans="27:47" ht="14.4">
      <c r="AA306">
        <f t="shared" si="58"/>
        <v>298</v>
      </c>
      <c r="AB306">
        <f t="shared" si="59"/>
        <v>111377.73316940496</v>
      </c>
      <c r="AC306">
        <f t="shared" si="60"/>
        <v>845.88592925695048</v>
      </c>
      <c r="AD306">
        <f t="shared" si="61"/>
        <v>2252.9433274453913</v>
      </c>
      <c r="AE306">
        <f t="shared" si="56"/>
        <v>1407.0573981884409</v>
      </c>
      <c r="AF306">
        <f t="shared" si="62"/>
        <v>502754.84474813176</v>
      </c>
      <c r="AG306">
        <f t="shared" si="63"/>
        <v>168622.26683059506</v>
      </c>
      <c r="AO306">
        <f t="shared" si="64"/>
        <v>298</v>
      </c>
      <c r="AP306">
        <f t="shared" si="65"/>
        <v>0</v>
      </c>
      <c r="AQ306">
        <f t="shared" si="66"/>
        <v>0</v>
      </c>
      <c r="AR306">
        <f t="shared" si="67"/>
        <v>0</v>
      </c>
      <c r="AS306">
        <f t="shared" si="57"/>
        <v>0</v>
      </c>
      <c r="AT306">
        <f t="shared" si="68"/>
        <v>250155.11224442557</v>
      </c>
      <c r="AU306">
        <f t="shared" si="69"/>
        <v>279999.99999999988</v>
      </c>
    </row>
    <row r="307" spans="27:47" ht="14.4">
      <c r="AA307">
        <f t="shared" si="58"/>
        <v>299</v>
      </c>
      <c r="AB307">
        <f t="shared" si="59"/>
        <v>109960.12284073011</v>
      </c>
      <c r="AC307">
        <f t="shared" si="60"/>
        <v>835.33299877053719</v>
      </c>
      <c r="AD307">
        <f t="shared" si="61"/>
        <v>2252.9433274453913</v>
      </c>
      <c r="AE307">
        <f t="shared" si="56"/>
        <v>1417.6103286748541</v>
      </c>
      <c r="AF307">
        <f t="shared" si="62"/>
        <v>503590.17774690228</v>
      </c>
      <c r="AG307">
        <f t="shared" si="63"/>
        <v>170039.8771592699</v>
      </c>
      <c r="AO307">
        <f t="shared" si="64"/>
        <v>299</v>
      </c>
      <c r="AP307">
        <f t="shared" si="65"/>
        <v>0</v>
      </c>
      <c r="AQ307">
        <f t="shared" si="66"/>
        <v>0</v>
      </c>
      <c r="AR307">
        <f t="shared" si="67"/>
        <v>0</v>
      </c>
      <c r="AS307">
        <f t="shared" si="57"/>
        <v>0</v>
      </c>
      <c r="AT307">
        <f t="shared" si="68"/>
        <v>250155.11224442557</v>
      </c>
      <c r="AU307">
        <f t="shared" si="69"/>
        <v>279999.99999999988</v>
      </c>
    </row>
    <row r="308" spans="27:47" ht="14.4">
      <c r="AA308">
        <f t="shared" si="58"/>
        <v>300</v>
      </c>
      <c r="AB308">
        <f t="shared" si="59"/>
        <v>108531.88043459019</v>
      </c>
      <c r="AC308">
        <f t="shared" si="60"/>
        <v>824.70092130547584</v>
      </c>
      <c r="AD308">
        <f t="shared" si="61"/>
        <v>2252.9433274453913</v>
      </c>
      <c r="AE308">
        <f t="shared" si="56"/>
        <v>1428.2424061399156</v>
      </c>
      <c r="AF308">
        <f t="shared" si="62"/>
        <v>504414.87866820773</v>
      </c>
      <c r="AG308">
        <f t="shared" si="63"/>
        <v>171468.11956540981</v>
      </c>
      <c r="AO308">
        <f t="shared" si="64"/>
        <v>300</v>
      </c>
      <c r="AP308">
        <f t="shared" si="65"/>
        <v>0</v>
      </c>
      <c r="AQ308">
        <f t="shared" si="66"/>
        <v>0</v>
      </c>
      <c r="AR308">
        <f t="shared" si="67"/>
        <v>0</v>
      </c>
      <c r="AS308">
        <f t="shared" si="57"/>
        <v>0</v>
      </c>
      <c r="AT308">
        <f t="shared" si="68"/>
        <v>250155.11224442557</v>
      </c>
      <c r="AU308">
        <f t="shared" si="69"/>
        <v>279999.99999999988</v>
      </c>
    </row>
    <row r="309" spans="27:47" ht="14.4">
      <c r="AA309">
        <f t="shared" si="58"/>
        <v>301</v>
      </c>
      <c r="AB309">
        <f t="shared" si="59"/>
        <v>107092.92621040423</v>
      </c>
      <c r="AC309">
        <f t="shared" si="60"/>
        <v>813.98910325942643</v>
      </c>
      <c r="AD309">
        <f t="shared" si="61"/>
        <v>2252.9433274453913</v>
      </c>
      <c r="AE309">
        <f t="shared" si="56"/>
        <v>1438.9542241859649</v>
      </c>
      <c r="AF309">
        <f t="shared" si="62"/>
        <v>505228.86777146714</v>
      </c>
      <c r="AG309">
        <f t="shared" si="63"/>
        <v>172907.07378959577</v>
      </c>
      <c r="AO309">
        <f t="shared" si="64"/>
        <v>301</v>
      </c>
      <c r="AP309">
        <f t="shared" si="65"/>
        <v>0</v>
      </c>
      <c r="AQ309">
        <f t="shared" si="66"/>
        <v>0</v>
      </c>
      <c r="AR309">
        <f t="shared" si="67"/>
        <v>0</v>
      </c>
      <c r="AS309">
        <f t="shared" si="57"/>
        <v>0</v>
      </c>
      <c r="AT309">
        <f t="shared" si="68"/>
        <v>250155.11224442557</v>
      </c>
      <c r="AU309">
        <f t="shared" si="69"/>
        <v>279999.99999999988</v>
      </c>
    </row>
    <row r="310" spans="27:47" ht="14.4">
      <c r="AA310">
        <f t="shared" si="58"/>
        <v>302</v>
      </c>
      <c r="AB310">
        <f t="shared" si="59"/>
        <v>105643.17982953686</v>
      </c>
      <c r="AC310">
        <f t="shared" si="60"/>
        <v>803.19694657803166</v>
      </c>
      <c r="AD310">
        <f t="shared" si="61"/>
        <v>2252.9433274453913</v>
      </c>
      <c r="AE310">
        <f t="shared" si="56"/>
        <v>1449.7463808673597</v>
      </c>
      <c r="AF310">
        <f t="shared" si="62"/>
        <v>506032.06471804518</v>
      </c>
      <c r="AG310">
        <f t="shared" si="63"/>
        <v>174356.82017046312</v>
      </c>
      <c r="AO310">
        <f t="shared" si="64"/>
        <v>302</v>
      </c>
      <c r="AP310">
        <f t="shared" si="65"/>
        <v>0</v>
      </c>
      <c r="AQ310">
        <f t="shared" si="66"/>
        <v>0</v>
      </c>
      <c r="AR310">
        <f t="shared" si="67"/>
        <v>0</v>
      </c>
      <c r="AS310">
        <f t="shared" si="57"/>
        <v>0</v>
      </c>
      <c r="AT310">
        <f t="shared" si="68"/>
        <v>250155.11224442557</v>
      </c>
      <c r="AU310">
        <f t="shared" si="69"/>
        <v>279999.99999999988</v>
      </c>
    </row>
    <row r="311" spans="27:47" ht="14.4">
      <c r="AA311">
        <f t="shared" si="58"/>
        <v>303</v>
      </c>
      <c r="AB311">
        <f t="shared" si="59"/>
        <v>104182.560350813</v>
      </c>
      <c r="AC311">
        <f t="shared" si="60"/>
        <v>792.32384872152647</v>
      </c>
      <c r="AD311">
        <f t="shared" si="61"/>
        <v>2252.9433274453913</v>
      </c>
      <c r="AE311">
        <f t="shared" si="56"/>
        <v>1460.6194787238649</v>
      </c>
      <c r="AF311">
        <f t="shared" si="62"/>
        <v>506824.38856676669</v>
      </c>
      <c r="AG311">
        <f t="shared" si="63"/>
        <v>175817.439649187</v>
      </c>
      <c r="AO311">
        <f t="shared" si="64"/>
        <v>303</v>
      </c>
      <c r="AP311">
        <f t="shared" si="65"/>
        <v>0</v>
      </c>
      <c r="AQ311">
        <f t="shared" si="66"/>
        <v>0</v>
      </c>
      <c r="AR311">
        <f t="shared" si="67"/>
        <v>0</v>
      </c>
      <c r="AS311">
        <f t="shared" si="57"/>
        <v>0</v>
      </c>
      <c r="AT311">
        <f t="shared" si="68"/>
        <v>250155.11224442557</v>
      </c>
      <c r="AU311">
        <f t="shared" si="69"/>
        <v>279999.99999999988</v>
      </c>
    </row>
    <row r="312" spans="27:47" ht="14.4">
      <c r="AA312">
        <f t="shared" si="58"/>
        <v>304</v>
      </c>
      <c r="AB312">
        <f t="shared" si="59"/>
        <v>102710.98622599871</v>
      </c>
      <c r="AC312">
        <f t="shared" si="60"/>
        <v>781.36920263109744</v>
      </c>
      <c r="AD312">
        <f t="shared" si="61"/>
        <v>2252.9433274453913</v>
      </c>
      <c r="AE312">
        <f t="shared" si="56"/>
        <v>1471.574124814294</v>
      </c>
      <c r="AF312">
        <f t="shared" si="62"/>
        <v>507605.75776939781</v>
      </c>
      <c r="AG312">
        <f t="shared" si="63"/>
        <v>177289.0137740013</v>
      </c>
      <c r="AO312">
        <f t="shared" si="64"/>
        <v>304</v>
      </c>
      <c r="AP312">
        <f t="shared" si="65"/>
        <v>0</v>
      </c>
      <c r="AQ312">
        <f t="shared" si="66"/>
        <v>0</v>
      </c>
      <c r="AR312">
        <f t="shared" si="67"/>
        <v>0</v>
      </c>
      <c r="AS312">
        <f t="shared" si="57"/>
        <v>0</v>
      </c>
      <c r="AT312">
        <f t="shared" si="68"/>
        <v>250155.11224442557</v>
      </c>
      <c r="AU312">
        <f t="shared" si="69"/>
        <v>279999.99999999988</v>
      </c>
    </row>
    <row r="313" spans="27:47" ht="14.4">
      <c r="AA313">
        <f t="shared" si="58"/>
        <v>305</v>
      </c>
      <c r="AB313">
        <f t="shared" si="59"/>
        <v>101228.37529524832</v>
      </c>
      <c r="AC313">
        <f t="shared" si="60"/>
        <v>770.33239669499028</v>
      </c>
      <c r="AD313">
        <f t="shared" si="61"/>
        <v>2252.9433274453913</v>
      </c>
      <c r="AE313">
        <f t="shared" si="56"/>
        <v>1482.6109307504012</v>
      </c>
      <c r="AF313">
        <f t="shared" si="62"/>
        <v>508376.09016609279</v>
      </c>
      <c r="AG313">
        <f t="shared" si="63"/>
        <v>178771.62470475171</v>
      </c>
      <c r="AO313">
        <f t="shared" si="64"/>
        <v>305</v>
      </c>
      <c r="AP313">
        <f t="shared" si="65"/>
        <v>0</v>
      </c>
      <c r="AQ313">
        <f t="shared" si="66"/>
        <v>0</v>
      </c>
      <c r="AR313">
        <f t="shared" si="67"/>
        <v>0</v>
      </c>
      <c r="AS313">
        <f t="shared" si="57"/>
        <v>0</v>
      </c>
      <c r="AT313">
        <f t="shared" si="68"/>
        <v>250155.11224442557</v>
      </c>
      <c r="AU313">
        <f t="shared" si="69"/>
        <v>279999.99999999988</v>
      </c>
    </row>
    <row r="314" spans="27:47" ht="14.4">
      <c r="AA314">
        <f t="shared" si="58"/>
        <v>306</v>
      </c>
      <c r="AB314">
        <f t="shared" si="59"/>
        <v>99734.644782517295</v>
      </c>
      <c r="AC314">
        <f t="shared" si="60"/>
        <v>759.21281471436237</v>
      </c>
      <c r="AD314">
        <f t="shared" si="61"/>
        <v>2252.9433274453913</v>
      </c>
      <c r="AE314">
        <f t="shared" si="56"/>
        <v>1493.730512731029</v>
      </c>
      <c r="AF314">
        <f t="shared" si="62"/>
        <v>509135.30298080714</v>
      </c>
      <c r="AG314">
        <f t="shared" si="63"/>
        <v>180265.35521748275</v>
      </c>
      <c r="AO314">
        <f t="shared" si="64"/>
        <v>306</v>
      </c>
      <c r="AP314">
        <f t="shared" si="65"/>
        <v>0</v>
      </c>
      <c r="AQ314">
        <f t="shared" si="66"/>
        <v>0</v>
      </c>
      <c r="AR314">
        <f t="shared" si="67"/>
        <v>0</v>
      </c>
      <c r="AS314">
        <f t="shared" si="57"/>
        <v>0</v>
      </c>
      <c r="AT314">
        <f t="shared" si="68"/>
        <v>250155.11224442557</v>
      </c>
      <c r="AU314">
        <f t="shared" si="69"/>
        <v>279999.99999999988</v>
      </c>
    </row>
    <row r="315" spans="27:47" ht="14.4">
      <c r="AA315">
        <f t="shared" si="58"/>
        <v>307</v>
      </c>
      <c r="AB315">
        <f t="shared" si="59"/>
        <v>98229.711290940788</v>
      </c>
      <c r="AC315">
        <f t="shared" si="60"/>
        <v>748.00983586887969</v>
      </c>
      <c r="AD315">
        <f t="shared" si="61"/>
        <v>2252.9433274453913</v>
      </c>
      <c r="AE315">
        <f t="shared" si="56"/>
        <v>1504.9334915765116</v>
      </c>
      <c r="AF315">
        <f t="shared" si="62"/>
        <v>509883.31281667604</v>
      </c>
      <c r="AG315">
        <f t="shared" si="63"/>
        <v>181770.28870905927</v>
      </c>
      <c r="AO315">
        <f t="shared" si="64"/>
        <v>307</v>
      </c>
      <c r="AP315">
        <f t="shared" si="65"/>
        <v>0</v>
      </c>
      <c r="AQ315">
        <f t="shared" si="66"/>
        <v>0</v>
      </c>
      <c r="AR315">
        <f t="shared" si="67"/>
        <v>0</v>
      </c>
      <c r="AS315">
        <f t="shared" si="57"/>
        <v>0</v>
      </c>
      <c r="AT315">
        <f t="shared" si="68"/>
        <v>250155.11224442557</v>
      </c>
      <c r="AU315">
        <f t="shared" si="69"/>
        <v>279999.99999999988</v>
      </c>
    </row>
    <row r="316" spans="27:47" ht="14.4">
      <c r="AA316">
        <f t="shared" si="58"/>
        <v>308</v>
      </c>
      <c r="AB316">
        <f t="shared" si="59"/>
        <v>96713.49079817746</v>
      </c>
      <c r="AC316">
        <f t="shared" si="60"/>
        <v>736.72283468205592</v>
      </c>
      <c r="AD316">
        <f t="shared" si="61"/>
        <v>2252.9433274453913</v>
      </c>
      <c r="AE316">
        <f t="shared" si="56"/>
        <v>1516.2204927633354</v>
      </c>
      <c r="AF316">
        <f t="shared" si="62"/>
        <v>510620.03565135808</v>
      </c>
      <c r="AG316">
        <f t="shared" si="63"/>
        <v>183286.5092018226</v>
      </c>
      <c r="AO316">
        <f t="shared" si="64"/>
        <v>308</v>
      </c>
      <c r="AP316">
        <f t="shared" si="65"/>
        <v>0</v>
      </c>
      <c r="AQ316">
        <f t="shared" si="66"/>
        <v>0</v>
      </c>
      <c r="AR316">
        <f t="shared" si="67"/>
        <v>0</v>
      </c>
      <c r="AS316">
        <f t="shared" si="57"/>
        <v>0</v>
      </c>
      <c r="AT316">
        <f t="shared" si="68"/>
        <v>250155.11224442557</v>
      </c>
      <c r="AU316">
        <f t="shared" si="69"/>
        <v>279999.99999999988</v>
      </c>
    </row>
    <row r="317" spans="27:47" ht="14.4">
      <c r="AA317">
        <f t="shared" si="58"/>
        <v>309</v>
      </c>
      <c r="AB317">
        <f t="shared" si="59"/>
        <v>95185.898651718395</v>
      </c>
      <c r="AC317">
        <f t="shared" si="60"/>
        <v>725.35118098633097</v>
      </c>
      <c r="AD317">
        <f t="shared" si="61"/>
        <v>2252.9433274453913</v>
      </c>
      <c r="AE317">
        <f t="shared" si="56"/>
        <v>1527.5921464590604</v>
      </c>
      <c r="AF317">
        <f t="shared" si="62"/>
        <v>511345.3868323444</v>
      </c>
      <c r="AG317">
        <f t="shared" si="63"/>
        <v>184814.10134828166</v>
      </c>
      <c r="AO317">
        <f t="shared" si="64"/>
        <v>309</v>
      </c>
      <c r="AP317">
        <f t="shared" si="65"/>
        <v>0</v>
      </c>
      <c r="AQ317">
        <f t="shared" si="66"/>
        <v>0</v>
      </c>
      <c r="AR317">
        <f t="shared" si="67"/>
        <v>0</v>
      </c>
      <c r="AS317">
        <f t="shared" si="57"/>
        <v>0</v>
      </c>
      <c r="AT317">
        <f t="shared" si="68"/>
        <v>250155.11224442557</v>
      </c>
      <c r="AU317">
        <f t="shared" si="69"/>
        <v>279999.99999999988</v>
      </c>
    </row>
    <row r="318" spans="27:47" ht="14.4">
      <c r="AA318">
        <f t="shared" si="58"/>
        <v>310</v>
      </c>
      <c r="AB318">
        <f t="shared" si="59"/>
        <v>93646.84956416089</v>
      </c>
      <c r="AC318">
        <f t="shared" si="60"/>
        <v>713.89423988788792</v>
      </c>
      <c r="AD318">
        <f t="shared" si="61"/>
        <v>2252.9433274453913</v>
      </c>
      <c r="AE318">
        <f t="shared" si="56"/>
        <v>1539.0490875575033</v>
      </c>
      <c r="AF318">
        <f t="shared" si="62"/>
        <v>512059.28107223229</v>
      </c>
      <c r="AG318">
        <f t="shared" si="63"/>
        <v>186353.15043583917</v>
      </c>
      <c r="AO318">
        <f t="shared" si="64"/>
        <v>310</v>
      </c>
      <c r="AP318">
        <f t="shared" si="65"/>
        <v>0</v>
      </c>
      <c r="AQ318">
        <f t="shared" si="66"/>
        <v>0</v>
      </c>
      <c r="AR318">
        <f t="shared" si="67"/>
        <v>0</v>
      </c>
      <c r="AS318">
        <f t="shared" si="57"/>
        <v>0</v>
      </c>
      <c r="AT318">
        <f t="shared" si="68"/>
        <v>250155.11224442557</v>
      </c>
      <c r="AU318">
        <f t="shared" si="69"/>
        <v>279999.99999999988</v>
      </c>
    </row>
    <row r="319" spans="27:47" ht="14.4">
      <c r="AA319">
        <f t="shared" si="58"/>
        <v>311</v>
      </c>
      <c r="AB319">
        <f t="shared" si="59"/>
        <v>92096.2576084467</v>
      </c>
      <c r="AC319">
        <f t="shared" si="60"/>
        <v>702.35137173120665</v>
      </c>
      <c r="AD319">
        <f t="shared" si="61"/>
        <v>2252.9433274453913</v>
      </c>
      <c r="AE319">
        <f t="shared" si="56"/>
        <v>1550.5919557141847</v>
      </c>
      <c r="AF319">
        <f t="shared" si="62"/>
        <v>512761.63244396349</v>
      </c>
      <c r="AG319">
        <f t="shared" si="63"/>
        <v>187903.74239155336</v>
      </c>
      <c r="AO319">
        <f t="shared" si="64"/>
        <v>311</v>
      </c>
      <c r="AP319">
        <f t="shared" si="65"/>
        <v>0</v>
      </c>
      <c r="AQ319">
        <f t="shared" si="66"/>
        <v>0</v>
      </c>
      <c r="AR319">
        <f t="shared" si="67"/>
        <v>0</v>
      </c>
      <c r="AS319">
        <f t="shared" si="57"/>
        <v>0</v>
      </c>
      <c r="AT319">
        <f t="shared" si="68"/>
        <v>250155.11224442557</v>
      </c>
      <c r="AU319">
        <f t="shared" si="69"/>
        <v>279999.99999999988</v>
      </c>
    </row>
    <row r="320" spans="27:47" ht="14.4">
      <c r="AA320">
        <f t="shared" si="58"/>
        <v>312</v>
      </c>
      <c r="AB320">
        <f t="shared" si="59"/>
        <v>90534.036213064654</v>
      </c>
      <c r="AC320">
        <f t="shared" si="60"/>
        <v>690.72193206335021</v>
      </c>
      <c r="AD320">
        <f t="shared" si="61"/>
        <v>2252.9433274453913</v>
      </c>
      <c r="AE320">
        <f t="shared" si="56"/>
        <v>1562.221395382041</v>
      </c>
      <c r="AF320">
        <f t="shared" si="62"/>
        <v>513452.35437602684</v>
      </c>
      <c r="AG320">
        <f t="shared" si="63"/>
        <v>189465.9637869354</v>
      </c>
      <c r="AO320">
        <f t="shared" si="64"/>
        <v>312</v>
      </c>
      <c r="AP320">
        <f t="shared" si="65"/>
        <v>0</v>
      </c>
      <c r="AQ320">
        <f t="shared" si="66"/>
        <v>0</v>
      </c>
      <c r="AR320">
        <f t="shared" si="67"/>
        <v>0</v>
      </c>
      <c r="AS320">
        <f t="shared" si="57"/>
        <v>0</v>
      </c>
      <c r="AT320">
        <f t="shared" si="68"/>
        <v>250155.11224442557</v>
      </c>
      <c r="AU320">
        <f t="shared" si="69"/>
        <v>279999.99999999988</v>
      </c>
    </row>
    <row r="321" spans="27:47" ht="14.4">
      <c r="AA321">
        <f t="shared" si="58"/>
        <v>313</v>
      </c>
      <c r="AB321">
        <f t="shared" si="59"/>
        <v>88960.098157217246</v>
      </c>
      <c r="AC321">
        <f t="shared" si="60"/>
        <v>679.00527159798492</v>
      </c>
      <c r="AD321">
        <f t="shared" si="61"/>
        <v>2252.9433274453913</v>
      </c>
      <c r="AE321">
        <f t="shared" si="56"/>
        <v>1573.9380558474063</v>
      </c>
      <c r="AF321">
        <f t="shared" si="62"/>
        <v>514131.35964762483</v>
      </c>
      <c r="AG321">
        <f t="shared" si="63"/>
        <v>191039.9018427828</v>
      </c>
      <c r="AO321">
        <f t="shared" si="64"/>
        <v>313</v>
      </c>
      <c r="AP321">
        <f t="shared" si="65"/>
        <v>0</v>
      </c>
      <c r="AQ321">
        <f t="shared" si="66"/>
        <v>0</v>
      </c>
      <c r="AR321">
        <f t="shared" si="67"/>
        <v>0</v>
      </c>
      <c r="AS321">
        <f t="shared" si="57"/>
        <v>0</v>
      </c>
      <c r="AT321">
        <f t="shared" si="68"/>
        <v>250155.11224442557</v>
      </c>
      <c r="AU321">
        <f t="shared" si="69"/>
        <v>279999.99999999988</v>
      </c>
    </row>
    <row r="322" spans="27:47" ht="14.4">
      <c r="AA322">
        <f t="shared" si="58"/>
        <v>314</v>
      </c>
      <c r="AB322">
        <f t="shared" si="59"/>
        <v>87374.355565950988</v>
      </c>
      <c r="AC322">
        <f t="shared" si="60"/>
        <v>667.20073617912931</v>
      </c>
      <c r="AD322">
        <f t="shared" si="61"/>
        <v>2252.9433274453913</v>
      </c>
      <c r="AE322">
        <f t="shared" si="56"/>
        <v>1585.742591266262</v>
      </c>
      <c r="AF322">
        <f t="shared" si="62"/>
        <v>514798.56038380397</v>
      </c>
      <c r="AG322">
        <f t="shared" si="63"/>
        <v>192625.64443404906</v>
      </c>
      <c r="AO322">
        <f t="shared" si="64"/>
        <v>314</v>
      </c>
      <c r="AP322">
        <f t="shared" si="65"/>
        <v>0</v>
      </c>
      <c r="AQ322">
        <f t="shared" si="66"/>
        <v>0</v>
      </c>
      <c r="AR322">
        <f t="shared" si="67"/>
        <v>0</v>
      </c>
      <c r="AS322">
        <f t="shared" si="57"/>
        <v>0</v>
      </c>
      <c r="AT322">
        <f t="shared" si="68"/>
        <v>250155.11224442557</v>
      </c>
      <c r="AU322">
        <f t="shared" si="69"/>
        <v>279999.99999999988</v>
      </c>
    </row>
    <row r="323" spans="27:47" ht="14.4">
      <c r="AA323">
        <f t="shared" si="58"/>
        <v>315</v>
      </c>
      <c r="AB323">
        <f t="shared" si="59"/>
        <v>85776.719905250226</v>
      </c>
      <c r="AC323">
        <f t="shared" si="60"/>
        <v>655.30766674463234</v>
      </c>
      <c r="AD323">
        <f t="shared" si="61"/>
        <v>2252.9433274453913</v>
      </c>
      <c r="AE323">
        <f t="shared" si="56"/>
        <v>1597.635660700759</v>
      </c>
      <c r="AF323">
        <f t="shared" si="62"/>
        <v>515453.8680505486</v>
      </c>
      <c r="AG323">
        <f t="shared" si="63"/>
        <v>194223.28009474982</v>
      </c>
      <c r="AO323">
        <f t="shared" si="64"/>
        <v>315</v>
      </c>
      <c r="AP323">
        <f t="shared" si="65"/>
        <v>0</v>
      </c>
      <c r="AQ323">
        <f t="shared" si="66"/>
        <v>0</v>
      </c>
      <c r="AR323">
        <f t="shared" si="67"/>
        <v>0</v>
      </c>
      <c r="AS323">
        <f t="shared" si="57"/>
        <v>0</v>
      </c>
      <c r="AT323">
        <f t="shared" si="68"/>
        <v>250155.11224442557</v>
      </c>
      <c r="AU323">
        <f t="shared" si="69"/>
        <v>279999.99999999988</v>
      </c>
    </row>
    <row r="324" spans="27:47" ht="14.4">
      <c r="AA324">
        <f t="shared" si="58"/>
        <v>316</v>
      </c>
      <c r="AB324">
        <f t="shared" si="59"/>
        <v>84167.101977094208</v>
      </c>
      <c r="AC324">
        <f t="shared" si="60"/>
        <v>643.32539928937672</v>
      </c>
      <c r="AD324">
        <f t="shared" si="61"/>
        <v>2252.9433274453913</v>
      </c>
      <c r="AE324">
        <f t="shared" si="56"/>
        <v>1609.6179281560146</v>
      </c>
      <c r="AF324">
        <f t="shared" si="62"/>
        <v>516097.19344983797</v>
      </c>
      <c r="AG324">
        <f t="shared" si="63"/>
        <v>195832.89802290584</v>
      </c>
      <c r="AO324">
        <f t="shared" si="64"/>
        <v>316</v>
      </c>
      <c r="AP324">
        <f t="shared" si="65"/>
        <v>0</v>
      </c>
      <c r="AQ324">
        <f t="shared" si="66"/>
        <v>0</v>
      </c>
      <c r="AR324">
        <f t="shared" si="67"/>
        <v>0</v>
      </c>
      <c r="AS324">
        <f t="shared" si="57"/>
        <v>0</v>
      </c>
      <c r="AT324">
        <f t="shared" si="68"/>
        <v>250155.11224442557</v>
      </c>
      <c r="AU324">
        <f t="shared" si="69"/>
        <v>279999.99999999988</v>
      </c>
    </row>
    <row r="325" spans="27:47" ht="14.4">
      <c r="AA325">
        <f t="shared" si="58"/>
        <v>317</v>
      </c>
      <c r="AB325">
        <f t="shared" si="59"/>
        <v>82545.411914477023</v>
      </c>
      <c r="AC325">
        <f t="shared" si="60"/>
        <v>631.25326482820651</v>
      </c>
      <c r="AD325">
        <f t="shared" si="61"/>
        <v>2252.9433274453913</v>
      </c>
      <c r="AE325">
        <f t="shared" si="56"/>
        <v>1621.6900626171848</v>
      </c>
      <c r="AF325">
        <f t="shared" si="62"/>
        <v>516728.44671466615</v>
      </c>
      <c r="AG325">
        <f t="shared" si="63"/>
        <v>197454.58808552302</v>
      </c>
      <c r="AO325">
        <f t="shared" si="64"/>
        <v>317</v>
      </c>
      <c r="AP325">
        <f t="shared" si="65"/>
        <v>0</v>
      </c>
      <c r="AQ325">
        <f t="shared" si="66"/>
        <v>0</v>
      </c>
      <c r="AR325">
        <f t="shared" si="67"/>
        <v>0</v>
      </c>
      <c r="AS325">
        <f t="shared" si="57"/>
        <v>0</v>
      </c>
      <c r="AT325">
        <f t="shared" si="68"/>
        <v>250155.11224442557</v>
      </c>
      <c r="AU325">
        <f t="shared" si="69"/>
        <v>279999.99999999988</v>
      </c>
    </row>
    <row r="326" spans="27:47" ht="14.4">
      <c r="AA326">
        <f t="shared" si="58"/>
        <v>318</v>
      </c>
      <c r="AB326">
        <f t="shared" si="59"/>
        <v>80911.559176390205</v>
      </c>
      <c r="AC326">
        <f t="shared" si="60"/>
        <v>619.09058935857763</v>
      </c>
      <c r="AD326">
        <f t="shared" si="61"/>
        <v>2252.9433274453913</v>
      </c>
      <c r="AE326">
        <f t="shared" si="56"/>
        <v>1633.8527380868136</v>
      </c>
      <c r="AF326">
        <f t="shared" si="62"/>
        <v>517347.53730402474</v>
      </c>
      <c r="AG326">
        <f t="shared" si="63"/>
        <v>199088.44082360982</v>
      </c>
      <c r="AO326">
        <f t="shared" si="64"/>
        <v>318</v>
      </c>
      <c r="AP326">
        <f t="shared" si="65"/>
        <v>0</v>
      </c>
      <c r="AQ326">
        <f t="shared" si="66"/>
        <v>0</v>
      </c>
      <c r="AR326">
        <f t="shared" si="67"/>
        <v>0</v>
      </c>
      <c r="AS326">
        <f t="shared" si="57"/>
        <v>0</v>
      </c>
      <c r="AT326">
        <f t="shared" si="68"/>
        <v>250155.11224442557</v>
      </c>
      <c r="AU326">
        <f t="shared" si="69"/>
        <v>279999.99999999988</v>
      </c>
    </row>
    <row r="327" spans="27:47" ht="14.4">
      <c r="AA327">
        <f t="shared" si="58"/>
        <v>319</v>
      </c>
      <c r="AB327">
        <f t="shared" si="59"/>
        <v>79265.452542767744</v>
      </c>
      <c r="AC327">
        <f t="shared" si="60"/>
        <v>606.83669382292646</v>
      </c>
      <c r="AD327">
        <f t="shared" si="61"/>
        <v>2252.9433274453913</v>
      </c>
      <c r="AE327">
        <f t="shared" si="56"/>
        <v>1646.1066336224649</v>
      </c>
      <c r="AF327">
        <f t="shared" si="62"/>
        <v>517954.37399784767</v>
      </c>
      <c r="AG327">
        <f t="shared" si="63"/>
        <v>200734.54745723229</v>
      </c>
      <c r="AO327">
        <f t="shared" si="64"/>
        <v>319</v>
      </c>
      <c r="AP327">
        <f t="shared" si="65"/>
        <v>0</v>
      </c>
      <c r="AQ327">
        <f t="shared" si="66"/>
        <v>0</v>
      </c>
      <c r="AR327">
        <f t="shared" si="67"/>
        <v>0</v>
      </c>
      <c r="AS327">
        <f t="shared" si="57"/>
        <v>0</v>
      </c>
      <c r="AT327">
        <f t="shared" si="68"/>
        <v>250155.11224442557</v>
      </c>
      <c r="AU327">
        <f t="shared" si="69"/>
        <v>279999.99999999988</v>
      </c>
    </row>
    <row r="328" spans="27:47" ht="14.4">
      <c r="AA328">
        <f t="shared" si="58"/>
        <v>320</v>
      </c>
      <c r="AB328">
        <f t="shared" si="59"/>
        <v>77607.000109393106</v>
      </c>
      <c r="AC328">
        <f t="shared" si="60"/>
        <v>594.49089407075803</v>
      </c>
      <c r="AD328">
        <f t="shared" si="61"/>
        <v>2252.9433274453913</v>
      </c>
      <c r="AE328">
        <f t="shared" si="56"/>
        <v>1658.4524333746333</v>
      </c>
      <c r="AF328">
        <f t="shared" si="62"/>
        <v>518548.86489191843</v>
      </c>
      <c r="AG328">
        <f t="shared" si="63"/>
        <v>202392.99989060691</v>
      </c>
      <c r="AO328">
        <f t="shared" si="64"/>
        <v>320</v>
      </c>
      <c r="AP328">
        <f t="shared" si="65"/>
        <v>0</v>
      </c>
      <c r="AQ328">
        <f t="shared" si="66"/>
        <v>0</v>
      </c>
      <c r="AR328">
        <f t="shared" si="67"/>
        <v>0</v>
      </c>
      <c r="AS328">
        <f t="shared" si="57"/>
        <v>0</v>
      </c>
      <c r="AT328">
        <f t="shared" si="68"/>
        <v>250155.11224442557</v>
      </c>
      <c r="AU328">
        <f t="shared" si="69"/>
        <v>279999.99999999988</v>
      </c>
    </row>
    <row r="329" spans="27:47" ht="14.4">
      <c r="AA329">
        <f t="shared" si="58"/>
        <v>321</v>
      </c>
      <c r="AB329">
        <f t="shared" si="59"/>
        <v>75936.109282768157</v>
      </c>
      <c r="AC329">
        <f t="shared" si="60"/>
        <v>582.05250082044824</v>
      </c>
      <c r="AD329">
        <f t="shared" si="61"/>
        <v>2252.9433274453913</v>
      </c>
      <c r="AE329">
        <f t="shared" ref="AE329:AE392" si="70">MAX(0,AD329-AC329)</f>
        <v>1670.8908266249432</v>
      </c>
      <c r="AF329">
        <f t="shared" si="62"/>
        <v>519130.91739273886</v>
      </c>
      <c r="AG329">
        <f t="shared" si="63"/>
        <v>204063.89071723184</v>
      </c>
      <c r="AO329">
        <f t="shared" si="64"/>
        <v>321</v>
      </c>
      <c r="AP329">
        <f t="shared" si="65"/>
        <v>0</v>
      </c>
      <c r="AQ329">
        <f t="shared" si="66"/>
        <v>0</v>
      </c>
      <c r="AR329">
        <f t="shared" si="67"/>
        <v>0</v>
      </c>
      <c r="AS329">
        <f t="shared" ref="AS329:AS392" si="71">MAX(0,AR329-AQ329)</f>
        <v>0</v>
      </c>
      <c r="AT329">
        <f t="shared" si="68"/>
        <v>250155.11224442557</v>
      </c>
      <c r="AU329">
        <f t="shared" si="69"/>
        <v>279999.99999999988</v>
      </c>
    </row>
    <row r="330" spans="27:47" ht="14.4">
      <c r="AA330">
        <f t="shared" ref="AA330:AA393" si="72">AA329+1</f>
        <v>322</v>
      </c>
      <c r="AB330">
        <f t="shared" ref="AB330:AB393" si="73">MAX(0,AB329-AE330)</f>
        <v>74252.686774943533</v>
      </c>
      <c r="AC330">
        <f t="shared" ref="AC330:AC393" si="74">IF(AB329&lt;=0,0,AB329*$AA$6)</f>
        <v>569.52081962076113</v>
      </c>
      <c r="AD330">
        <f t="shared" ref="AD330:AD393" si="75">IF(AB329&lt;=0,0,MIN($AC$6,AB329+AC330))</f>
        <v>2252.9433274453913</v>
      </c>
      <c r="AE330">
        <f t="shared" si="70"/>
        <v>1683.4225078246302</v>
      </c>
      <c r="AF330">
        <f t="shared" ref="AF330:AF393" si="76">AF329+AC330</f>
        <v>519700.43821235962</v>
      </c>
      <c r="AG330">
        <f t="shared" ref="AG330:AG393" si="77">AG329+AE330</f>
        <v>205747.31322505648</v>
      </c>
      <c r="AO330">
        <f t="shared" ref="AO330:AO393" si="78">AO329+1</f>
        <v>322</v>
      </c>
      <c r="AP330">
        <f t="shared" ref="AP330:AP393" si="79">MAX(0,AP329-AS330)</f>
        <v>0</v>
      </c>
      <c r="AQ330">
        <f t="shared" ref="AQ330:AQ393" si="80">IF(AP329&lt;=0,0,AP329*$AA$6)</f>
        <v>0</v>
      </c>
      <c r="AR330">
        <f t="shared" ref="AR330:AR393" si="81">IF(AP329&lt;=0,0,MIN($AD$6,AP329+AQ330))</f>
        <v>0</v>
      </c>
      <c r="AS330">
        <f t="shared" si="71"/>
        <v>0</v>
      </c>
      <c r="AT330">
        <f t="shared" ref="AT330:AT393" si="82">AT329+AQ330</f>
        <v>250155.11224442557</v>
      </c>
      <c r="AU330">
        <f t="shared" ref="AU330:AU393" si="83">AU329+AS330</f>
        <v>279999.99999999988</v>
      </c>
    </row>
    <row r="331" spans="27:47" ht="14.4">
      <c r="AA331">
        <f t="shared" si="72"/>
        <v>323</v>
      </c>
      <c r="AB331">
        <f t="shared" si="73"/>
        <v>72556.638598310223</v>
      </c>
      <c r="AC331">
        <f t="shared" si="74"/>
        <v>556.89515081207651</v>
      </c>
      <c r="AD331">
        <f t="shared" si="75"/>
        <v>2252.9433274453913</v>
      </c>
      <c r="AE331">
        <f t="shared" si="70"/>
        <v>1696.0481766333148</v>
      </c>
      <c r="AF331">
        <f t="shared" si="76"/>
        <v>520257.33336317167</v>
      </c>
      <c r="AG331">
        <f t="shared" si="77"/>
        <v>207443.36140168979</v>
      </c>
      <c r="AO331">
        <f t="shared" si="78"/>
        <v>323</v>
      </c>
      <c r="AP331">
        <f t="shared" si="79"/>
        <v>0</v>
      </c>
      <c r="AQ331">
        <f t="shared" si="80"/>
        <v>0</v>
      </c>
      <c r="AR331">
        <f t="shared" si="81"/>
        <v>0</v>
      </c>
      <c r="AS331">
        <f t="shared" si="71"/>
        <v>0</v>
      </c>
      <c r="AT331">
        <f t="shared" si="82"/>
        <v>250155.11224442557</v>
      </c>
      <c r="AU331">
        <f t="shared" si="83"/>
        <v>279999.99999999988</v>
      </c>
    </row>
    <row r="332" spans="27:47" ht="14.4">
      <c r="AA332">
        <f t="shared" si="72"/>
        <v>324</v>
      </c>
      <c r="AB332">
        <f t="shared" si="73"/>
        <v>70847.870060352157</v>
      </c>
      <c r="AC332">
        <f t="shared" si="74"/>
        <v>544.17478948732662</v>
      </c>
      <c r="AD332">
        <f t="shared" si="75"/>
        <v>2252.9433274453913</v>
      </c>
      <c r="AE332">
        <f t="shared" si="70"/>
        <v>1708.7685379580648</v>
      </c>
      <c r="AF332">
        <f t="shared" si="76"/>
        <v>520801.50815265899</v>
      </c>
      <c r="AG332">
        <f t="shared" si="77"/>
        <v>209152.12993964786</v>
      </c>
      <c r="AO332">
        <f t="shared" si="78"/>
        <v>324</v>
      </c>
      <c r="AP332">
        <f t="shared" si="79"/>
        <v>0</v>
      </c>
      <c r="AQ332">
        <f t="shared" si="80"/>
        <v>0</v>
      </c>
      <c r="AR332">
        <f t="shared" si="81"/>
        <v>0</v>
      </c>
      <c r="AS332">
        <f t="shared" si="71"/>
        <v>0</v>
      </c>
      <c r="AT332">
        <f t="shared" si="82"/>
        <v>250155.11224442557</v>
      </c>
      <c r="AU332">
        <f t="shared" si="83"/>
        <v>279999.99999999988</v>
      </c>
    </row>
    <row r="333" spans="27:47" ht="14.4">
      <c r="AA333">
        <f t="shared" si="72"/>
        <v>325</v>
      </c>
      <c r="AB333">
        <f t="shared" si="73"/>
        <v>69126.285758359401</v>
      </c>
      <c r="AC333">
        <f t="shared" si="74"/>
        <v>531.35902545264116</v>
      </c>
      <c r="AD333">
        <f t="shared" si="75"/>
        <v>2252.9433274453913</v>
      </c>
      <c r="AE333">
        <f t="shared" si="70"/>
        <v>1721.5843019927502</v>
      </c>
      <c r="AF333">
        <f t="shared" si="76"/>
        <v>521332.86717811163</v>
      </c>
      <c r="AG333">
        <f t="shared" si="77"/>
        <v>210873.71424164061</v>
      </c>
      <c r="AO333">
        <f t="shared" si="78"/>
        <v>325</v>
      </c>
      <c r="AP333">
        <f t="shared" si="79"/>
        <v>0</v>
      </c>
      <c r="AQ333">
        <f t="shared" si="80"/>
        <v>0</v>
      </c>
      <c r="AR333">
        <f t="shared" si="81"/>
        <v>0</v>
      </c>
      <c r="AS333">
        <f t="shared" si="71"/>
        <v>0</v>
      </c>
      <c r="AT333">
        <f t="shared" si="82"/>
        <v>250155.11224442557</v>
      </c>
      <c r="AU333">
        <f t="shared" si="83"/>
        <v>279999.99999999988</v>
      </c>
    </row>
    <row r="334" spans="27:47" ht="14.4">
      <c r="AA334">
        <f t="shared" si="72"/>
        <v>326</v>
      </c>
      <c r="AB334">
        <f t="shared" si="73"/>
        <v>67391.789574101713</v>
      </c>
      <c r="AC334">
        <f t="shared" si="74"/>
        <v>518.44714318769547</v>
      </c>
      <c r="AD334">
        <f t="shared" si="75"/>
        <v>2252.9433274453913</v>
      </c>
      <c r="AE334">
        <f t="shared" si="70"/>
        <v>1734.4961842576959</v>
      </c>
      <c r="AF334">
        <f t="shared" si="76"/>
        <v>521851.31432129932</v>
      </c>
      <c r="AG334">
        <f t="shared" si="77"/>
        <v>212608.21042589832</v>
      </c>
      <c r="AO334">
        <f t="shared" si="78"/>
        <v>326</v>
      </c>
      <c r="AP334">
        <f t="shared" si="79"/>
        <v>0</v>
      </c>
      <c r="AQ334">
        <f t="shared" si="80"/>
        <v>0</v>
      </c>
      <c r="AR334">
        <f t="shared" si="81"/>
        <v>0</v>
      </c>
      <c r="AS334">
        <f t="shared" si="71"/>
        <v>0</v>
      </c>
      <c r="AT334">
        <f t="shared" si="82"/>
        <v>250155.11224442557</v>
      </c>
      <c r="AU334">
        <f t="shared" si="83"/>
        <v>279999.99999999988</v>
      </c>
    </row>
    <row r="335" spans="27:47" ht="14.4">
      <c r="AA335">
        <f t="shared" si="72"/>
        <v>327</v>
      </c>
      <c r="AB335">
        <f t="shared" si="73"/>
        <v>65644.284668462089</v>
      </c>
      <c r="AC335">
        <f t="shared" si="74"/>
        <v>505.4384218057628</v>
      </c>
      <c r="AD335">
        <f t="shared" si="75"/>
        <v>2252.9433274453913</v>
      </c>
      <c r="AE335">
        <f t="shared" si="70"/>
        <v>1747.5049056396285</v>
      </c>
      <c r="AF335">
        <f t="shared" si="76"/>
        <v>522356.75274310505</v>
      </c>
      <c r="AG335">
        <f t="shared" si="77"/>
        <v>214355.71533153794</v>
      </c>
      <c r="AO335">
        <f t="shared" si="78"/>
        <v>327</v>
      </c>
      <c r="AP335">
        <f t="shared" si="79"/>
        <v>0</v>
      </c>
      <c r="AQ335">
        <f t="shared" si="80"/>
        <v>0</v>
      </c>
      <c r="AR335">
        <f t="shared" si="81"/>
        <v>0</v>
      </c>
      <c r="AS335">
        <f t="shared" si="71"/>
        <v>0</v>
      </c>
      <c r="AT335">
        <f t="shared" si="82"/>
        <v>250155.11224442557</v>
      </c>
      <c r="AU335">
        <f t="shared" si="83"/>
        <v>279999.99999999988</v>
      </c>
    </row>
    <row r="336" spans="27:47" ht="14.4">
      <c r="AA336">
        <f t="shared" si="72"/>
        <v>328</v>
      </c>
      <c r="AB336">
        <f t="shared" si="73"/>
        <v>63883.673476030162</v>
      </c>
      <c r="AC336">
        <f t="shared" si="74"/>
        <v>492.33213501346563</v>
      </c>
      <c r="AD336">
        <f t="shared" si="75"/>
        <v>2252.9433274453913</v>
      </c>
      <c r="AE336">
        <f t="shared" si="70"/>
        <v>1760.6111924319257</v>
      </c>
      <c r="AF336">
        <f t="shared" si="76"/>
        <v>522849.08487811853</v>
      </c>
      <c r="AG336">
        <f t="shared" si="77"/>
        <v>216116.32652396985</v>
      </c>
      <c r="AO336">
        <f t="shared" si="78"/>
        <v>328</v>
      </c>
      <c r="AP336">
        <f t="shared" si="79"/>
        <v>0</v>
      </c>
      <c r="AQ336">
        <f t="shared" si="80"/>
        <v>0</v>
      </c>
      <c r="AR336">
        <f t="shared" si="81"/>
        <v>0</v>
      </c>
      <c r="AS336">
        <f t="shared" si="71"/>
        <v>0</v>
      </c>
      <c r="AT336">
        <f t="shared" si="82"/>
        <v>250155.11224442557</v>
      </c>
      <c r="AU336">
        <f t="shared" si="83"/>
        <v>279999.99999999988</v>
      </c>
    </row>
    <row r="337" spans="27:47" ht="14.4">
      <c r="AA337">
        <f t="shared" si="72"/>
        <v>329</v>
      </c>
      <c r="AB337">
        <f t="shared" si="73"/>
        <v>62109.857699654996</v>
      </c>
      <c r="AC337">
        <f t="shared" si="74"/>
        <v>479.12755107022622</v>
      </c>
      <c r="AD337">
        <f t="shared" si="75"/>
        <v>2252.9433274453913</v>
      </c>
      <c r="AE337">
        <f t="shared" si="70"/>
        <v>1773.8157763751651</v>
      </c>
      <c r="AF337">
        <f t="shared" si="76"/>
        <v>523328.21242918877</v>
      </c>
      <c r="AG337">
        <f t="shared" si="77"/>
        <v>217890.142300345</v>
      </c>
      <c r="AO337">
        <f t="shared" si="78"/>
        <v>329</v>
      </c>
      <c r="AP337">
        <f t="shared" si="79"/>
        <v>0</v>
      </c>
      <c r="AQ337">
        <f t="shared" si="80"/>
        <v>0</v>
      </c>
      <c r="AR337">
        <f t="shared" si="81"/>
        <v>0</v>
      </c>
      <c r="AS337">
        <f t="shared" si="71"/>
        <v>0</v>
      </c>
      <c r="AT337">
        <f t="shared" si="82"/>
        <v>250155.11224442557</v>
      </c>
      <c r="AU337">
        <f t="shared" si="83"/>
        <v>279999.99999999988</v>
      </c>
    </row>
    <row r="338" spans="27:47" ht="14.4">
      <c r="AA338">
        <f t="shared" si="72"/>
        <v>330</v>
      </c>
      <c r="AB338">
        <f t="shared" si="73"/>
        <v>60322.73830495702</v>
      </c>
      <c r="AC338">
        <f t="shared" si="74"/>
        <v>465.82393274741247</v>
      </c>
      <c r="AD338">
        <f t="shared" si="75"/>
        <v>2252.9433274453913</v>
      </c>
      <c r="AE338">
        <f t="shared" si="70"/>
        <v>1787.1193946979788</v>
      </c>
      <c r="AF338">
        <f t="shared" si="76"/>
        <v>523794.03636193619</v>
      </c>
      <c r="AG338">
        <f t="shared" si="77"/>
        <v>219677.26169504298</v>
      </c>
      <c r="AO338">
        <f t="shared" si="78"/>
        <v>330</v>
      </c>
      <c r="AP338">
        <f t="shared" si="79"/>
        <v>0</v>
      </c>
      <c r="AQ338">
        <f t="shared" si="80"/>
        <v>0</v>
      </c>
      <c r="AR338">
        <f t="shared" si="81"/>
        <v>0</v>
      </c>
      <c r="AS338">
        <f t="shared" si="71"/>
        <v>0</v>
      </c>
      <c r="AT338">
        <f t="shared" si="82"/>
        <v>250155.11224442557</v>
      </c>
      <c r="AU338">
        <f t="shared" si="83"/>
        <v>279999.99999999988</v>
      </c>
    </row>
    <row r="339" spans="27:47" ht="14.4">
      <c r="AA339">
        <f t="shared" si="72"/>
        <v>331</v>
      </c>
      <c r="AB339">
        <f t="shared" si="73"/>
        <v>58522.215514798809</v>
      </c>
      <c r="AC339">
        <f t="shared" si="74"/>
        <v>452.42053728717764</v>
      </c>
      <c r="AD339">
        <f t="shared" si="75"/>
        <v>2252.9433274453913</v>
      </c>
      <c r="AE339">
        <f t="shared" si="70"/>
        <v>1800.5227901582136</v>
      </c>
      <c r="AF339">
        <f t="shared" si="76"/>
        <v>524246.45689922338</v>
      </c>
      <c r="AG339">
        <f t="shared" si="77"/>
        <v>221477.78448520121</v>
      </c>
      <c r="AO339">
        <f t="shared" si="78"/>
        <v>331</v>
      </c>
      <c r="AP339">
        <f t="shared" si="79"/>
        <v>0</v>
      </c>
      <c r="AQ339">
        <f t="shared" si="80"/>
        <v>0</v>
      </c>
      <c r="AR339">
        <f t="shared" si="81"/>
        <v>0</v>
      </c>
      <c r="AS339">
        <f t="shared" si="71"/>
        <v>0</v>
      </c>
      <c r="AT339">
        <f t="shared" si="82"/>
        <v>250155.11224442557</v>
      </c>
      <c r="AU339">
        <f t="shared" si="83"/>
        <v>279999.99999999988</v>
      </c>
    </row>
    <row r="340" spans="27:47" ht="14.4">
      <c r="AA340">
        <f t="shared" si="72"/>
        <v>332</v>
      </c>
      <c r="AB340">
        <f t="shared" si="73"/>
        <v>56708.188803714409</v>
      </c>
      <c r="AC340">
        <f t="shared" si="74"/>
        <v>438.91661636099104</v>
      </c>
      <c r="AD340">
        <f t="shared" si="75"/>
        <v>2252.9433274453913</v>
      </c>
      <c r="AE340">
        <f t="shared" si="70"/>
        <v>1814.0267110844002</v>
      </c>
      <c r="AF340">
        <f t="shared" si="76"/>
        <v>524685.37351558439</v>
      </c>
      <c r="AG340">
        <f t="shared" si="77"/>
        <v>223291.81119628562</v>
      </c>
      <c r="AO340">
        <f t="shared" si="78"/>
        <v>332</v>
      </c>
      <c r="AP340">
        <f t="shared" si="79"/>
        <v>0</v>
      </c>
      <c r="AQ340">
        <f t="shared" si="80"/>
        <v>0</v>
      </c>
      <c r="AR340">
        <f t="shared" si="81"/>
        <v>0</v>
      </c>
      <c r="AS340">
        <f t="shared" si="71"/>
        <v>0</v>
      </c>
      <c r="AT340">
        <f t="shared" si="82"/>
        <v>250155.11224442557</v>
      </c>
      <c r="AU340">
        <f t="shared" si="83"/>
        <v>279999.99999999988</v>
      </c>
    </row>
    <row r="341" spans="27:47" ht="14.4">
      <c r="AA341">
        <f t="shared" si="72"/>
        <v>333</v>
      </c>
      <c r="AB341">
        <f t="shared" si="73"/>
        <v>54880.556892296874</v>
      </c>
      <c r="AC341">
        <f t="shared" si="74"/>
        <v>425.31141602785806</v>
      </c>
      <c r="AD341">
        <f t="shared" si="75"/>
        <v>2252.9433274453913</v>
      </c>
      <c r="AE341">
        <f t="shared" si="70"/>
        <v>1827.6319114175333</v>
      </c>
      <c r="AF341">
        <f t="shared" si="76"/>
        <v>525110.68493161222</v>
      </c>
      <c r="AG341">
        <f t="shared" si="77"/>
        <v>225119.44310770315</v>
      </c>
      <c r="AO341">
        <f t="shared" si="78"/>
        <v>333</v>
      </c>
      <c r="AP341">
        <f t="shared" si="79"/>
        <v>0</v>
      </c>
      <c r="AQ341">
        <f t="shared" si="80"/>
        <v>0</v>
      </c>
      <c r="AR341">
        <f t="shared" si="81"/>
        <v>0</v>
      </c>
      <c r="AS341">
        <f t="shared" si="71"/>
        <v>0</v>
      </c>
      <c r="AT341">
        <f t="shared" si="82"/>
        <v>250155.11224442557</v>
      </c>
      <c r="AU341">
        <f t="shared" si="83"/>
        <v>279999.99999999988</v>
      </c>
    </row>
    <row r="342" spans="27:47" ht="14.4">
      <c r="AA342">
        <f t="shared" si="72"/>
        <v>334</v>
      </c>
      <c r="AB342">
        <f t="shared" si="73"/>
        <v>53039.217741543711</v>
      </c>
      <c r="AC342">
        <f t="shared" si="74"/>
        <v>411.60417669222653</v>
      </c>
      <c r="AD342">
        <f t="shared" si="75"/>
        <v>2252.9433274453913</v>
      </c>
      <c r="AE342">
        <f t="shared" si="70"/>
        <v>1841.3391507531649</v>
      </c>
      <c r="AF342">
        <f t="shared" si="76"/>
        <v>525522.28910830442</v>
      </c>
      <c r="AG342">
        <f t="shared" si="77"/>
        <v>226960.78225845631</v>
      </c>
      <c r="AO342">
        <f t="shared" si="78"/>
        <v>334</v>
      </c>
      <c r="AP342">
        <f t="shared" si="79"/>
        <v>0</v>
      </c>
      <c r="AQ342">
        <f t="shared" si="80"/>
        <v>0</v>
      </c>
      <c r="AR342">
        <f t="shared" si="81"/>
        <v>0</v>
      </c>
      <c r="AS342">
        <f t="shared" si="71"/>
        <v>0</v>
      </c>
      <c r="AT342">
        <f t="shared" si="82"/>
        <v>250155.11224442557</v>
      </c>
      <c r="AU342">
        <f t="shared" si="83"/>
        <v>279999.99999999988</v>
      </c>
    </row>
    <row r="343" spans="27:47" ht="14.4">
      <c r="AA343">
        <f t="shared" si="72"/>
        <v>335</v>
      </c>
      <c r="AB343">
        <f t="shared" si="73"/>
        <v>51184.068547159899</v>
      </c>
      <c r="AC343">
        <f t="shared" si="74"/>
        <v>397.79413306157784</v>
      </c>
      <c r="AD343">
        <f t="shared" si="75"/>
        <v>2252.9433274453913</v>
      </c>
      <c r="AE343">
        <f t="shared" si="70"/>
        <v>1855.1491943838134</v>
      </c>
      <c r="AF343">
        <f t="shared" si="76"/>
        <v>525920.08324136597</v>
      </c>
      <c r="AG343">
        <f t="shared" si="77"/>
        <v>228815.93145284013</v>
      </c>
      <c r="AO343">
        <f t="shared" si="78"/>
        <v>335</v>
      </c>
      <c r="AP343">
        <f t="shared" si="79"/>
        <v>0</v>
      </c>
      <c r="AQ343">
        <f t="shared" si="80"/>
        <v>0</v>
      </c>
      <c r="AR343">
        <f t="shared" si="81"/>
        <v>0</v>
      </c>
      <c r="AS343">
        <f t="shared" si="71"/>
        <v>0</v>
      </c>
      <c r="AT343">
        <f t="shared" si="82"/>
        <v>250155.11224442557</v>
      </c>
      <c r="AU343">
        <f t="shared" si="83"/>
        <v>279999.99999999988</v>
      </c>
    </row>
    <row r="344" spans="27:47" ht="14.4">
      <c r="AA344">
        <f t="shared" si="72"/>
        <v>336</v>
      </c>
      <c r="AB344">
        <f t="shared" si="73"/>
        <v>49315.005733818209</v>
      </c>
      <c r="AC344">
        <f t="shared" si="74"/>
        <v>383.88051410369923</v>
      </c>
      <c r="AD344">
        <f t="shared" si="75"/>
        <v>2252.9433274453913</v>
      </c>
      <c r="AE344">
        <f t="shared" si="70"/>
        <v>1869.0628133416922</v>
      </c>
      <c r="AF344">
        <f t="shared" si="76"/>
        <v>526303.96375546965</v>
      </c>
      <c r="AG344">
        <f t="shared" si="77"/>
        <v>230684.99426618183</v>
      </c>
      <c r="AO344">
        <f t="shared" si="78"/>
        <v>336</v>
      </c>
      <c r="AP344">
        <f t="shared" si="79"/>
        <v>0</v>
      </c>
      <c r="AQ344">
        <f t="shared" si="80"/>
        <v>0</v>
      </c>
      <c r="AR344">
        <f t="shared" si="81"/>
        <v>0</v>
      </c>
      <c r="AS344">
        <f t="shared" si="71"/>
        <v>0</v>
      </c>
      <c r="AT344">
        <f t="shared" si="82"/>
        <v>250155.11224442557</v>
      </c>
      <c r="AU344">
        <f t="shared" si="83"/>
        <v>279999.99999999988</v>
      </c>
    </row>
    <row r="345" spans="27:47" ht="14.4">
      <c r="AA345">
        <f t="shared" si="72"/>
        <v>337</v>
      </c>
      <c r="AB345">
        <f t="shared" si="73"/>
        <v>47431.924949376451</v>
      </c>
      <c r="AC345">
        <f t="shared" si="74"/>
        <v>369.86254300363657</v>
      </c>
      <c r="AD345">
        <f t="shared" si="75"/>
        <v>2252.9433274453913</v>
      </c>
      <c r="AE345">
        <f t="shared" si="70"/>
        <v>1883.0807844417548</v>
      </c>
      <c r="AF345">
        <f t="shared" si="76"/>
        <v>526673.82629847329</v>
      </c>
      <c r="AG345">
        <f t="shared" si="77"/>
        <v>232568.07505062359</v>
      </c>
      <c r="AO345">
        <f t="shared" si="78"/>
        <v>337</v>
      </c>
      <c r="AP345">
        <f t="shared" si="79"/>
        <v>0</v>
      </c>
      <c r="AQ345">
        <f t="shared" si="80"/>
        <v>0</v>
      </c>
      <c r="AR345">
        <f t="shared" si="81"/>
        <v>0</v>
      </c>
      <c r="AS345">
        <f t="shared" si="71"/>
        <v>0</v>
      </c>
      <c r="AT345">
        <f t="shared" si="82"/>
        <v>250155.11224442557</v>
      </c>
      <c r="AU345">
        <f t="shared" si="83"/>
        <v>279999.99999999988</v>
      </c>
    </row>
    <row r="346" spans="27:47" ht="14.4">
      <c r="AA346">
        <f t="shared" si="72"/>
        <v>338</v>
      </c>
      <c r="AB346">
        <f t="shared" si="73"/>
        <v>45534.721059051386</v>
      </c>
      <c r="AC346">
        <f t="shared" si="74"/>
        <v>355.73943712032337</v>
      </c>
      <c r="AD346">
        <f t="shared" si="75"/>
        <v>2252.9433274453913</v>
      </c>
      <c r="AE346">
        <f t="shared" si="70"/>
        <v>1897.203890325068</v>
      </c>
      <c r="AF346">
        <f t="shared" si="76"/>
        <v>527029.56573559355</v>
      </c>
      <c r="AG346">
        <f t="shared" si="77"/>
        <v>234465.27894094866</v>
      </c>
      <c r="AO346">
        <f t="shared" si="78"/>
        <v>338</v>
      </c>
      <c r="AP346">
        <f t="shared" si="79"/>
        <v>0</v>
      </c>
      <c r="AQ346">
        <f t="shared" si="80"/>
        <v>0</v>
      </c>
      <c r="AR346">
        <f t="shared" si="81"/>
        <v>0</v>
      </c>
      <c r="AS346">
        <f t="shared" si="71"/>
        <v>0</v>
      </c>
      <c r="AT346">
        <f t="shared" si="82"/>
        <v>250155.11224442557</v>
      </c>
      <c r="AU346">
        <f t="shared" si="83"/>
        <v>279999.99999999988</v>
      </c>
    </row>
    <row r="347" spans="27:47" ht="14.4">
      <c r="AA347">
        <f t="shared" si="72"/>
        <v>339</v>
      </c>
      <c r="AB347">
        <f t="shared" si="73"/>
        <v>43623.28813954888</v>
      </c>
      <c r="AC347">
        <f t="shared" si="74"/>
        <v>341.51040794288537</v>
      </c>
      <c r="AD347">
        <f t="shared" si="75"/>
        <v>2252.9433274453913</v>
      </c>
      <c r="AE347">
        <f t="shared" si="70"/>
        <v>1911.4329195025059</v>
      </c>
      <c r="AF347">
        <f t="shared" si="76"/>
        <v>527371.07614353648</v>
      </c>
      <c r="AG347">
        <f t="shared" si="77"/>
        <v>236376.71186045118</v>
      </c>
      <c r="AO347">
        <f t="shared" si="78"/>
        <v>339</v>
      </c>
      <c r="AP347">
        <f t="shared" si="79"/>
        <v>0</v>
      </c>
      <c r="AQ347">
        <f t="shared" si="80"/>
        <v>0</v>
      </c>
      <c r="AR347">
        <f t="shared" si="81"/>
        <v>0</v>
      </c>
      <c r="AS347">
        <f t="shared" si="71"/>
        <v>0</v>
      </c>
      <c r="AT347">
        <f t="shared" si="82"/>
        <v>250155.11224442557</v>
      </c>
      <c r="AU347">
        <f t="shared" si="83"/>
        <v>279999.99999999988</v>
      </c>
    </row>
    <row r="348" spans="27:47" ht="14.4">
      <c r="AA348">
        <f t="shared" si="72"/>
        <v>340</v>
      </c>
      <c r="AB348">
        <f t="shared" si="73"/>
        <v>41697.519473150103</v>
      </c>
      <c r="AC348">
        <f t="shared" si="74"/>
        <v>327.17466104661656</v>
      </c>
      <c r="AD348">
        <f t="shared" si="75"/>
        <v>2252.9433274453913</v>
      </c>
      <c r="AE348">
        <f t="shared" si="70"/>
        <v>1925.7686663987747</v>
      </c>
      <c r="AF348">
        <f t="shared" si="76"/>
        <v>527698.25080458308</v>
      </c>
      <c r="AG348">
        <f t="shared" si="77"/>
        <v>238302.48052684995</v>
      </c>
      <c r="AO348">
        <f t="shared" si="78"/>
        <v>340</v>
      </c>
      <c r="AP348">
        <f t="shared" si="79"/>
        <v>0</v>
      </c>
      <c r="AQ348">
        <f t="shared" si="80"/>
        <v>0</v>
      </c>
      <c r="AR348">
        <f t="shared" si="81"/>
        <v>0</v>
      </c>
      <c r="AS348">
        <f t="shared" si="71"/>
        <v>0</v>
      </c>
      <c r="AT348">
        <f t="shared" si="82"/>
        <v>250155.11224442557</v>
      </c>
      <c r="AU348">
        <f t="shared" si="83"/>
        <v>279999.99999999988</v>
      </c>
    </row>
    <row r="349" spans="27:47" ht="14.4">
      <c r="AA349">
        <f t="shared" si="72"/>
        <v>341</v>
      </c>
      <c r="AB349">
        <f t="shared" si="73"/>
        <v>39757.30754175334</v>
      </c>
      <c r="AC349">
        <f t="shared" si="74"/>
        <v>312.73139604862575</v>
      </c>
      <c r="AD349">
        <f t="shared" si="75"/>
        <v>2252.9433274453913</v>
      </c>
      <c r="AE349">
        <f t="shared" si="70"/>
        <v>1940.2119313967655</v>
      </c>
      <c r="AF349">
        <f t="shared" si="76"/>
        <v>528010.98220063176</v>
      </c>
      <c r="AG349">
        <f t="shared" si="77"/>
        <v>240242.69245824672</v>
      </c>
      <c r="AO349">
        <f t="shared" si="78"/>
        <v>341</v>
      </c>
      <c r="AP349">
        <f t="shared" si="79"/>
        <v>0</v>
      </c>
      <c r="AQ349">
        <f t="shared" si="80"/>
        <v>0</v>
      </c>
      <c r="AR349">
        <f t="shared" si="81"/>
        <v>0</v>
      </c>
      <c r="AS349">
        <f t="shared" si="71"/>
        <v>0</v>
      </c>
      <c r="AT349">
        <f t="shared" si="82"/>
        <v>250155.11224442557</v>
      </c>
      <c r="AU349">
        <f t="shared" si="83"/>
        <v>279999.99999999988</v>
      </c>
    </row>
    <row r="350" spans="27:47" ht="14.4">
      <c r="AA350">
        <f t="shared" si="72"/>
        <v>342</v>
      </c>
      <c r="AB350">
        <f t="shared" si="73"/>
        <v>37802.544020871101</v>
      </c>
      <c r="AC350">
        <f t="shared" si="74"/>
        <v>298.17980656315007</v>
      </c>
      <c r="AD350">
        <f t="shared" si="75"/>
        <v>2252.9433274453913</v>
      </c>
      <c r="AE350">
        <f t="shared" si="70"/>
        <v>1954.7635208822412</v>
      </c>
      <c r="AF350">
        <f t="shared" si="76"/>
        <v>528309.16200719494</v>
      </c>
      <c r="AG350">
        <f t="shared" si="77"/>
        <v>242197.45597912895</v>
      </c>
      <c r="AO350">
        <f t="shared" si="78"/>
        <v>342</v>
      </c>
      <c r="AP350">
        <f t="shared" si="79"/>
        <v>0</v>
      </c>
      <c r="AQ350">
        <f t="shared" si="80"/>
        <v>0</v>
      </c>
      <c r="AR350">
        <f t="shared" si="81"/>
        <v>0</v>
      </c>
      <c r="AS350">
        <f t="shared" si="71"/>
        <v>0</v>
      </c>
      <c r="AT350">
        <f t="shared" si="82"/>
        <v>250155.11224442557</v>
      </c>
      <c r="AU350">
        <f t="shared" si="83"/>
        <v>279999.99999999988</v>
      </c>
    </row>
    <row r="351" spans="27:47" ht="14.4">
      <c r="AA351">
        <f t="shared" si="72"/>
        <v>343</v>
      </c>
      <c r="AB351">
        <f t="shared" si="73"/>
        <v>35833.119773582242</v>
      </c>
      <c r="AC351">
        <f t="shared" si="74"/>
        <v>283.51908015653322</v>
      </c>
      <c r="AD351">
        <f t="shared" si="75"/>
        <v>2252.9433274453913</v>
      </c>
      <c r="AE351">
        <f t="shared" si="70"/>
        <v>1969.4242472888582</v>
      </c>
      <c r="AF351">
        <f t="shared" si="76"/>
        <v>528592.68108735152</v>
      </c>
      <c r="AG351">
        <f t="shared" si="77"/>
        <v>244166.88022641779</v>
      </c>
      <c r="AO351">
        <f t="shared" si="78"/>
        <v>343</v>
      </c>
      <c r="AP351">
        <f t="shared" si="79"/>
        <v>0</v>
      </c>
      <c r="AQ351">
        <f t="shared" si="80"/>
        <v>0</v>
      </c>
      <c r="AR351">
        <f t="shared" si="81"/>
        <v>0</v>
      </c>
      <c r="AS351">
        <f t="shared" si="71"/>
        <v>0</v>
      </c>
      <c r="AT351">
        <f t="shared" si="82"/>
        <v>250155.11224442557</v>
      </c>
      <c r="AU351">
        <f t="shared" si="83"/>
        <v>279999.99999999988</v>
      </c>
    </row>
    <row r="352" spans="27:47" ht="14.4">
      <c r="AA352">
        <f t="shared" si="72"/>
        <v>344</v>
      </c>
      <c r="AB352">
        <f t="shared" si="73"/>
        <v>33848.924844438719</v>
      </c>
      <c r="AC352">
        <f t="shared" si="74"/>
        <v>268.74839830186681</v>
      </c>
      <c r="AD352">
        <f t="shared" si="75"/>
        <v>2252.9433274453913</v>
      </c>
      <c r="AE352">
        <f t="shared" si="70"/>
        <v>1984.1949291435244</v>
      </c>
      <c r="AF352">
        <f t="shared" si="76"/>
        <v>528861.42948565341</v>
      </c>
      <c r="AG352">
        <f t="shared" si="77"/>
        <v>246151.07515556132</v>
      </c>
      <c r="AO352">
        <f t="shared" si="78"/>
        <v>344</v>
      </c>
      <c r="AP352">
        <f t="shared" si="79"/>
        <v>0</v>
      </c>
      <c r="AQ352">
        <f t="shared" si="80"/>
        <v>0</v>
      </c>
      <c r="AR352">
        <f t="shared" si="81"/>
        <v>0</v>
      </c>
      <c r="AS352">
        <f t="shared" si="71"/>
        <v>0</v>
      </c>
      <c r="AT352">
        <f t="shared" si="82"/>
        <v>250155.11224442557</v>
      </c>
      <c r="AU352">
        <f t="shared" si="83"/>
        <v>279999.99999999988</v>
      </c>
    </row>
    <row r="353" spans="27:47" ht="14.4">
      <c r="AA353">
        <f t="shared" si="72"/>
        <v>345</v>
      </c>
      <c r="AB353">
        <f t="shared" si="73"/>
        <v>31849.84845332662</v>
      </c>
      <c r="AC353">
        <f t="shared" si="74"/>
        <v>253.8669363332904</v>
      </c>
      <c r="AD353">
        <f t="shared" si="75"/>
        <v>2252.9433274453913</v>
      </c>
      <c r="AE353">
        <f t="shared" si="70"/>
        <v>1999.076391112101</v>
      </c>
      <c r="AF353">
        <f t="shared" si="76"/>
        <v>529115.29642198666</v>
      </c>
      <c r="AG353">
        <f t="shared" si="77"/>
        <v>248150.15154667341</v>
      </c>
      <c r="AO353">
        <f t="shared" si="78"/>
        <v>345</v>
      </c>
      <c r="AP353">
        <f t="shared" si="79"/>
        <v>0</v>
      </c>
      <c r="AQ353">
        <f t="shared" si="80"/>
        <v>0</v>
      </c>
      <c r="AR353">
        <f t="shared" si="81"/>
        <v>0</v>
      </c>
      <c r="AS353">
        <f t="shared" si="71"/>
        <v>0</v>
      </c>
      <c r="AT353">
        <f t="shared" si="82"/>
        <v>250155.11224442557</v>
      </c>
      <c r="AU353">
        <f t="shared" si="83"/>
        <v>279999.99999999988</v>
      </c>
    </row>
    <row r="354" spans="27:47" ht="14.4">
      <c r="AA354">
        <f t="shared" si="72"/>
        <v>346</v>
      </c>
      <c r="AB354">
        <f t="shared" si="73"/>
        <v>29835.778989281178</v>
      </c>
      <c r="AC354">
        <f t="shared" si="74"/>
        <v>238.87386339994964</v>
      </c>
      <c r="AD354">
        <f t="shared" si="75"/>
        <v>2252.9433274453913</v>
      </c>
      <c r="AE354">
        <f t="shared" si="70"/>
        <v>2014.0694640454417</v>
      </c>
      <c r="AF354">
        <f t="shared" si="76"/>
        <v>529354.17028538662</v>
      </c>
      <c r="AG354">
        <f t="shared" si="77"/>
        <v>250164.22101071884</v>
      </c>
      <c r="AO354">
        <f t="shared" si="78"/>
        <v>346</v>
      </c>
      <c r="AP354">
        <f t="shared" si="79"/>
        <v>0</v>
      </c>
      <c r="AQ354">
        <f t="shared" si="80"/>
        <v>0</v>
      </c>
      <c r="AR354">
        <f t="shared" si="81"/>
        <v>0</v>
      </c>
      <c r="AS354">
        <f t="shared" si="71"/>
        <v>0</v>
      </c>
      <c r="AT354">
        <f t="shared" si="82"/>
        <v>250155.11224442557</v>
      </c>
      <c r="AU354">
        <f t="shared" si="83"/>
        <v>279999.99999999988</v>
      </c>
    </row>
    <row r="355" spans="27:47" ht="14.4">
      <c r="AA355">
        <f t="shared" si="72"/>
        <v>347</v>
      </c>
      <c r="AB355">
        <f t="shared" si="73"/>
        <v>27806.604004255394</v>
      </c>
      <c r="AC355">
        <f t="shared" si="74"/>
        <v>223.76834241960881</v>
      </c>
      <c r="AD355">
        <f t="shared" si="75"/>
        <v>2252.9433274453913</v>
      </c>
      <c r="AE355">
        <f t="shared" si="70"/>
        <v>2029.1749850257825</v>
      </c>
      <c r="AF355">
        <f t="shared" si="76"/>
        <v>529577.93862780626</v>
      </c>
      <c r="AG355">
        <f t="shared" si="77"/>
        <v>252193.39599574462</v>
      </c>
      <c r="AO355">
        <f t="shared" si="78"/>
        <v>347</v>
      </c>
      <c r="AP355">
        <f t="shared" si="79"/>
        <v>0</v>
      </c>
      <c r="AQ355">
        <f t="shared" si="80"/>
        <v>0</v>
      </c>
      <c r="AR355">
        <f t="shared" si="81"/>
        <v>0</v>
      </c>
      <c r="AS355">
        <f t="shared" si="71"/>
        <v>0</v>
      </c>
      <c r="AT355">
        <f t="shared" si="82"/>
        <v>250155.11224442557</v>
      </c>
      <c r="AU355">
        <f t="shared" si="83"/>
        <v>279999.99999999988</v>
      </c>
    </row>
    <row r="356" spans="27:47" ht="14.4">
      <c r="AA356">
        <f t="shared" si="72"/>
        <v>348</v>
      </c>
      <c r="AB356">
        <f t="shared" si="73"/>
        <v>25762.210206841919</v>
      </c>
      <c r="AC356">
        <f t="shared" si="74"/>
        <v>208.54953003191545</v>
      </c>
      <c r="AD356">
        <f t="shared" si="75"/>
        <v>2252.9433274453913</v>
      </c>
      <c r="AE356">
        <f t="shared" si="70"/>
        <v>2044.3937974134758</v>
      </c>
      <c r="AF356">
        <f t="shared" si="76"/>
        <v>529786.48815783812</v>
      </c>
      <c r="AG356">
        <f t="shared" si="77"/>
        <v>254237.7897931581</v>
      </c>
      <c r="AO356">
        <f t="shared" si="78"/>
        <v>348</v>
      </c>
      <c r="AP356">
        <f t="shared" si="79"/>
        <v>0</v>
      </c>
      <c r="AQ356">
        <f t="shared" si="80"/>
        <v>0</v>
      </c>
      <c r="AR356">
        <f t="shared" si="81"/>
        <v>0</v>
      </c>
      <c r="AS356">
        <f t="shared" si="71"/>
        <v>0</v>
      </c>
      <c r="AT356">
        <f t="shared" si="82"/>
        <v>250155.11224442557</v>
      </c>
      <c r="AU356">
        <f t="shared" si="83"/>
        <v>279999.99999999988</v>
      </c>
    </row>
    <row r="357" spans="27:47" ht="14.4">
      <c r="AA357">
        <f t="shared" si="72"/>
        <v>349</v>
      </c>
      <c r="AB357">
        <f t="shared" si="73"/>
        <v>23702.48345594784</v>
      </c>
      <c r="AC357">
        <f t="shared" si="74"/>
        <v>193.21657655131438</v>
      </c>
      <c r="AD357">
        <f t="shared" si="75"/>
        <v>2252.9433274453913</v>
      </c>
      <c r="AE357">
        <f t="shared" si="70"/>
        <v>2059.7267508940768</v>
      </c>
      <c r="AF357">
        <f t="shared" si="76"/>
        <v>529979.70473438944</v>
      </c>
      <c r="AG357">
        <f t="shared" si="77"/>
        <v>256297.51654405217</v>
      </c>
      <c r="AO357">
        <f t="shared" si="78"/>
        <v>349</v>
      </c>
      <c r="AP357">
        <f t="shared" si="79"/>
        <v>0</v>
      </c>
      <c r="AQ357">
        <f t="shared" si="80"/>
        <v>0</v>
      </c>
      <c r="AR357">
        <f t="shared" si="81"/>
        <v>0</v>
      </c>
      <c r="AS357">
        <f t="shared" si="71"/>
        <v>0</v>
      </c>
      <c r="AT357">
        <f t="shared" si="82"/>
        <v>250155.11224442557</v>
      </c>
      <c r="AU357">
        <f t="shared" si="83"/>
        <v>279999.99999999988</v>
      </c>
    </row>
    <row r="358" spans="27:47" ht="14.4">
      <c r="AA358">
        <f t="shared" si="72"/>
        <v>350</v>
      </c>
      <c r="AB358">
        <f t="shared" si="73"/>
        <v>21627.308754422058</v>
      </c>
      <c r="AC358">
        <f t="shared" si="74"/>
        <v>177.76862591960881</v>
      </c>
      <c r="AD358">
        <f t="shared" si="75"/>
        <v>2252.9433274453913</v>
      </c>
      <c r="AE358">
        <f t="shared" si="70"/>
        <v>2075.1747015257824</v>
      </c>
      <c r="AF358">
        <f t="shared" si="76"/>
        <v>530157.47336030903</v>
      </c>
      <c r="AG358">
        <f t="shared" si="77"/>
        <v>258372.69124557794</v>
      </c>
      <c r="AO358">
        <f t="shared" si="78"/>
        <v>350</v>
      </c>
      <c r="AP358">
        <f t="shared" si="79"/>
        <v>0</v>
      </c>
      <c r="AQ358">
        <f t="shared" si="80"/>
        <v>0</v>
      </c>
      <c r="AR358">
        <f t="shared" si="81"/>
        <v>0</v>
      </c>
      <c r="AS358">
        <f t="shared" si="71"/>
        <v>0</v>
      </c>
      <c r="AT358">
        <f t="shared" si="82"/>
        <v>250155.11224442557</v>
      </c>
      <c r="AU358">
        <f t="shared" si="83"/>
        <v>279999.99999999988</v>
      </c>
    </row>
    <row r="359" spans="27:47" ht="14.4">
      <c r="AA359">
        <f t="shared" si="72"/>
        <v>351</v>
      </c>
      <c r="AB359">
        <f t="shared" si="73"/>
        <v>19536.570242634833</v>
      </c>
      <c r="AC359">
        <f t="shared" si="74"/>
        <v>162.20481565816542</v>
      </c>
      <c r="AD359">
        <f t="shared" si="75"/>
        <v>2252.9433274453913</v>
      </c>
      <c r="AE359">
        <f t="shared" si="70"/>
        <v>2090.7385117872259</v>
      </c>
      <c r="AF359">
        <f t="shared" si="76"/>
        <v>530319.67817596719</v>
      </c>
      <c r="AG359">
        <f t="shared" si="77"/>
        <v>260463.42975736517</v>
      </c>
      <c r="AO359">
        <f t="shared" si="78"/>
        <v>351</v>
      </c>
      <c r="AP359">
        <f t="shared" si="79"/>
        <v>0</v>
      </c>
      <c r="AQ359">
        <f t="shared" si="80"/>
        <v>0</v>
      </c>
      <c r="AR359">
        <f t="shared" si="81"/>
        <v>0</v>
      </c>
      <c r="AS359">
        <f t="shared" si="71"/>
        <v>0</v>
      </c>
      <c r="AT359">
        <f t="shared" si="82"/>
        <v>250155.11224442557</v>
      </c>
      <c r="AU359">
        <f t="shared" si="83"/>
        <v>279999.99999999988</v>
      </c>
    </row>
    <row r="360" spans="27:47" ht="14.4">
      <c r="AA360">
        <f t="shared" si="72"/>
        <v>352</v>
      </c>
      <c r="AB360">
        <f t="shared" si="73"/>
        <v>17430.151192009202</v>
      </c>
      <c r="AC360">
        <f t="shared" si="74"/>
        <v>146.52427681976124</v>
      </c>
      <c r="AD360">
        <f t="shared" si="75"/>
        <v>2252.9433274453913</v>
      </c>
      <c r="AE360">
        <f t="shared" si="70"/>
        <v>2106.41905062563</v>
      </c>
      <c r="AF360">
        <f t="shared" si="76"/>
        <v>530466.20245278697</v>
      </c>
      <c r="AG360">
        <f t="shared" si="77"/>
        <v>262569.84880799078</v>
      </c>
      <c r="AO360">
        <f t="shared" si="78"/>
        <v>352</v>
      </c>
      <c r="AP360">
        <f t="shared" si="79"/>
        <v>0</v>
      </c>
      <c r="AQ360">
        <f t="shared" si="80"/>
        <v>0</v>
      </c>
      <c r="AR360">
        <f t="shared" si="81"/>
        <v>0</v>
      </c>
      <c r="AS360">
        <f t="shared" si="71"/>
        <v>0</v>
      </c>
      <c r="AT360">
        <f t="shared" si="82"/>
        <v>250155.11224442557</v>
      </c>
      <c r="AU360">
        <f t="shared" si="83"/>
        <v>279999.99999999988</v>
      </c>
    </row>
    <row r="361" spans="27:47" ht="14.4">
      <c r="AA361">
        <f t="shared" si="72"/>
        <v>353</v>
      </c>
      <c r="AB361">
        <f t="shared" si="73"/>
        <v>15307.933998503879</v>
      </c>
      <c r="AC361">
        <f t="shared" si="74"/>
        <v>130.72613394006902</v>
      </c>
      <c r="AD361">
        <f t="shared" si="75"/>
        <v>2252.9433274453913</v>
      </c>
      <c r="AE361">
        <f t="shared" si="70"/>
        <v>2122.2171935053225</v>
      </c>
      <c r="AF361">
        <f t="shared" si="76"/>
        <v>530596.92858672701</v>
      </c>
      <c r="AG361">
        <f t="shared" si="77"/>
        <v>264692.0660014961</v>
      </c>
      <c r="AO361">
        <f t="shared" si="78"/>
        <v>353</v>
      </c>
      <c r="AP361">
        <f t="shared" si="79"/>
        <v>0</v>
      </c>
      <c r="AQ361">
        <f t="shared" si="80"/>
        <v>0</v>
      </c>
      <c r="AR361">
        <f t="shared" si="81"/>
        <v>0</v>
      </c>
      <c r="AS361">
        <f t="shared" si="71"/>
        <v>0</v>
      </c>
      <c r="AT361">
        <f t="shared" si="82"/>
        <v>250155.11224442557</v>
      </c>
      <c r="AU361">
        <f t="shared" si="83"/>
        <v>279999.99999999988</v>
      </c>
    </row>
    <row r="362" spans="27:47" ht="14.4">
      <c r="AA362">
        <f t="shared" si="72"/>
        <v>354</v>
      </c>
      <c r="AB362">
        <f t="shared" si="73"/>
        <v>13169.800176047267</v>
      </c>
      <c r="AC362">
        <f t="shared" si="74"/>
        <v>114.80950498877908</v>
      </c>
      <c r="AD362">
        <f t="shared" si="75"/>
        <v>2252.9433274453913</v>
      </c>
      <c r="AE362">
        <f t="shared" si="70"/>
        <v>2138.1338224566121</v>
      </c>
      <c r="AF362">
        <f t="shared" si="76"/>
        <v>530711.73809171584</v>
      </c>
      <c r="AG362">
        <f t="shared" si="77"/>
        <v>266830.19982395269</v>
      </c>
      <c r="AO362">
        <f t="shared" si="78"/>
        <v>354</v>
      </c>
      <c r="AP362">
        <f t="shared" si="79"/>
        <v>0</v>
      </c>
      <c r="AQ362">
        <f t="shared" si="80"/>
        <v>0</v>
      </c>
      <c r="AR362">
        <f t="shared" si="81"/>
        <v>0</v>
      </c>
      <c r="AS362">
        <f t="shared" si="71"/>
        <v>0</v>
      </c>
      <c r="AT362">
        <f t="shared" si="82"/>
        <v>250155.11224442557</v>
      </c>
      <c r="AU362">
        <f t="shared" si="83"/>
        <v>279999.99999999988</v>
      </c>
    </row>
    <row r="363" spans="27:47" ht="14.4">
      <c r="AA363">
        <f t="shared" si="72"/>
        <v>355</v>
      </c>
      <c r="AB363">
        <f t="shared" si="73"/>
        <v>11015.63034992223</v>
      </c>
      <c r="AC363">
        <f t="shared" si="74"/>
        <v>98.773501320354498</v>
      </c>
      <c r="AD363">
        <f t="shared" si="75"/>
        <v>2252.9433274453913</v>
      </c>
      <c r="AE363">
        <f t="shared" si="70"/>
        <v>2154.1698261250367</v>
      </c>
      <c r="AF363">
        <f t="shared" si="76"/>
        <v>530810.51159303624</v>
      </c>
      <c r="AG363">
        <f t="shared" si="77"/>
        <v>268984.36965007772</v>
      </c>
      <c r="AO363">
        <f t="shared" si="78"/>
        <v>355</v>
      </c>
      <c r="AP363">
        <f t="shared" si="79"/>
        <v>0</v>
      </c>
      <c r="AQ363">
        <f t="shared" si="80"/>
        <v>0</v>
      </c>
      <c r="AR363">
        <f t="shared" si="81"/>
        <v>0</v>
      </c>
      <c r="AS363">
        <f t="shared" si="71"/>
        <v>0</v>
      </c>
      <c r="AT363">
        <f t="shared" si="82"/>
        <v>250155.11224442557</v>
      </c>
      <c r="AU363">
        <f t="shared" si="83"/>
        <v>279999.99999999988</v>
      </c>
    </row>
    <row r="364" spans="27:47" ht="14.4">
      <c r="AA364">
        <f t="shared" si="72"/>
        <v>356</v>
      </c>
      <c r="AB364">
        <f t="shared" si="73"/>
        <v>8845.3042501012569</v>
      </c>
      <c r="AC364">
        <f t="shared" si="74"/>
        <v>82.617227624416728</v>
      </c>
      <c r="AD364">
        <f t="shared" si="75"/>
        <v>2252.9433274453913</v>
      </c>
      <c r="AE364">
        <f t="shared" si="70"/>
        <v>2170.3260998209744</v>
      </c>
      <c r="AF364">
        <f t="shared" si="76"/>
        <v>530893.12882066064</v>
      </c>
      <c r="AG364">
        <f t="shared" si="77"/>
        <v>271154.69574989867</v>
      </c>
      <c r="AO364">
        <f t="shared" si="78"/>
        <v>356</v>
      </c>
      <c r="AP364">
        <f t="shared" si="79"/>
        <v>0</v>
      </c>
      <c r="AQ364">
        <f t="shared" si="80"/>
        <v>0</v>
      </c>
      <c r="AR364">
        <f t="shared" si="81"/>
        <v>0</v>
      </c>
      <c r="AS364">
        <f t="shared" si="71"/>
        <v>0</v>
      </c>
      <c r="AT364">
        <f t="shared" si="82"/>
        <v>250155.11224442557</v>
      </c>
      <c r="AU364">
        <f t="shared" si="83"/>
        <v>279999.99999999988</v>
      </c>
    </row>
    <row r="365" spans="27:47" ht="14.4">
      <c r="AA365">
        <f t="shared" si="72"/>
        <v>357</v>
      </c>
      <c r="AB365">
        <f t="shared" si="73"/>
        <v>6658.700704531625</v>
      </c>
      <c r="AC365">
        <f t="shared" si="74"/>
        <v>66.339781875759428</v>
      </c>
      <c r="AD365">
        <f t="shared" si="75"/>
        <v>2252.9433274453913</v>
      </c>
      <c r="AE365">
        <f t="shared" si="70"/>
        <v>2186.6035455696319</v>
      </c>
      <c r="AF365">
        <f t="shared" si="76"/>
        <v>530959.46860253636</v>
      </c>
      <c r="AG365">
        <f t="shared" si="77"/>
        <v>273341.29929546831</v>
      </c>
      <c r="AO365">
        <f t="shared" si="78"/>
        <v>357</v>
      </c>
      <c r="AP365">
        <f t="shared" si="79"/>
        <v>0</v>
      </c>
      <c r="AQ365">
        <f t="shared" si="80"/>
        <v>0</v>
      </c>
      <c r="AR365">
        <f t="shared" si="81"/>
        <v>0</v>
      </c>
      <c r="AS365">
        <f t="shared" si="71"/>
        <v>0</v>
      </c>
      <c r="AT365">
        <f t="shared" si="82"/>
        <v>250155.11224442557</v>
      </c>
      <c r="AU365">
        <f t="shared" si="83"/>
        <v>279999.99999999988</v>
      </c>
    </row>
    <row r="366" spans="27:47" ht="14.4">
      <c r="AA366">
        <f t="shared" si="72"/>
        <v>358</v>
      </c>
      <c r="AB366">
        <f t="shared" si="73"/>
        <v>4455.6976323702202</v>
      </c>
      <c r="AC366">
        <f t="shared" si="74"/>
        <v>49.940255283987184</v>
      </c>
      <c r="AD366">
        <f t="shared" si="75"/>
        <v>2252.9433274453913</v>
      </c>
      <c r="AE366">
        <f t="shared" si="70"/>
        <v>2203.0030721614044</v>
      </c>
      <c r="AF366">
        <f t="shared" si="76"/>
        <v>531009.40885782032</v>
      </c>
      <c r="AG366">
        <f t="shared" si="77"/>
        <v>275544.30236762972</v>
      </c>
      <c r="AO366">
        <f t="shared" si="78"/>
        <v>358</v>
      </c>
      <c r="AP366">
        <f t="shared" si="79"/>
        <v>0</v>
      </c>
      <c r="AQ366">
        <f t="shared" si="80"/>
        <v>0</v>
      </c>
      <c r="AR366">
        <f t="shared" si="81"/>
        <v>0</v>
      </c>
      <c r="AS366">
        <f t="shared" si="71"/>
        <v>0</v>
      </c>
      <c r="AT366">
        <f t="shared" si="82"/>
        <v>250155.11224442557</v>
      </c>
      <c r="AU366">
        <f t="shared" si="83"/>
        <v>279999.99999999988</v>
      </c>
    </row>
    <row r="367" spans="27:47" ht="14.4">
      <c r="AA367">
        <f t="shared" si="72"/>
        <v>359</v>
      </c>
      <c r="AB367">
        <f t="shared" si="73"/>
        <v>2236.1720371676056</v>
      </c>
      <c r="AC367">
        <f t="shared" si="74"/>
        <v>33.417732242776651</v>
      </c>
      <c r="AD367">
        <f t="shared" si="75"/>
        <v>2252.9433274453913</v>
      </c>
      <c r="AE367">
        <f t="shared" si="70"/>
        <v>2219.5255952026146</v>
      </c>
      <c r="AF367">
        <f t="shared" si="76"/>
        <v>531042.82659006305</v>
      </c>
      <c r="AG367">
        <f t="shared" si="77"/>
        <v>277763.82796283235</v>
      </c>
      <c r="AO367">
        <f t="shared" si="78"/>
        <v>359</v>
      </c>
      <c r="AP367">
        <f t="shared" si="79"/>
        <v>0</v>
      </c>
      <c r="AQ367">
        <f t="shared" si="80"/>
        <v>0</v>
      </c>
      <c r="AR367">
        <f t="shared" si="81"/>
        <v>0</v>
      </c>
      <c r="AS367">
        <f t="shared" si="71"/>
        <v>0</v>
      </c>
      <c r="AT367">
        <f t="shared" si="82"/>
        <v>250155.11224442557</v>
      </c>
      <c r="AU367">
        <f t="shared" si="83"/>
        <v>279999.99999999988</v>
      </c>
    </row>
    <row r="368" spans="27:47" ht="14.4">
      <c r="AA368">
        <f t="shared" si="72"/>
        <v>360</v>
      </c>
      <c r="AB368">
        <f t="shared" si="73"/>
        <v>9.7134034149348736E-10</v>
      </c>
      <c r="AC368">
        <f t="shared" si="74"/>
        <v>16.771290278757043</v>
      </c>
      <c r="AD368">
        <f t="shared" si="75"/>
        <v>2252.9433274453913</v>
      </c>
      <c r="AE368">
        <f t="shared" si="70"/>
        <v>2236.1720371666343</v>
      </c>
      <c r="AF368">
        <f t="shared" si="76"/>
        <v>531059.59788034181</v>
      </c>
      <c r="AG368">
        <f t="shared" si="77"/>
        <v>279999.99999999901</v>
      </c>
      <c r="AO368">
        <f t="shared" si="78"/>
        <v>360</v>
      </c>
      <c r="AP368">
        <f t="shared" si="79"/>
        <v>0</v>
      </c>
      <c r="AQ368">
        <f t="shared" si="80"/>
        <v>0</v>
      </c>
      <c r="AR368">
        <f t="shared" si="81"/>
        <v>0</v>
      </c>
      <c r="AS368">
        <f t="shared" si="71"/>
        <v>0</v>
      </c>
      <c r="AT368">
        <f t="shared" si="82"/>
        <v>250155.11224442557</v>
      </c>
      <c r="AU368">
        <f t="shared" si="83"/>
        <v>279999.99999999988</v>
      </c>
    </row>
    <row r="369" spans="27:47" ht="14.4">
      <c r="AA369">
        <f t="shared" si="72"/>
        <v>361</v>
      </c>
      <c r="AB369">
        <f t="shared" si="73"/>
        <v>0</v>
      </c>
      <c r="AC369">
        <f t="shared" si="74"/>
        <v>7.285052561201155E-12</v>
      </c>
      <c r="AD369">
        <f t="shared" si="75"/>
        <v>9.7862539405468851E-10</v>
      </c>
      <c r="AE369">
        <f t="shared" si="70"/>
        <v>9.7134034149348736E-10</v>
      </c>
      <c r="AF369">
        <f t="shared" si="76"/>
        <v>531059.59788034181</v>
      </c>
      <c r="AG369">
        <f t="shared" si="77"/>
        <v>280000</v>
      </c>
      <c r="AO369">
        <f t="shared" si="78"/>
        <v>361</v>
      </c>
      <c r="AP369">
        <f t="shared" si="79"/>
        <v>0</v>
      </c>
      <c r="AQ369">
        <f t="shared" si="80"/>
        <v>0</v>
      </c>
      <c r="AR369">
        <f t="shared" si="81"/>
        <v>0</v>
      </c>
      <c r="AS369">
        <f t="shared" si="71"/>
        <v>0</v>
      </c>
      <c r="AT369">
        <f t="shared" si="82"/>
        <v>250155.11224442557</v>
      </c>
      <c r="AU369">
        <f t="shared" si="83"/>
        <v>279999.99999999988</v>
      </c>
    </row>
    <row r="370" spans="27:47" ht="14.4">
      <c r="AA370">
        <f t="shared" si="72"/>
        <v>362</v>
      </c>
      <c r="AB370">
        <f t="shared" si="73"/>
        <v>0</v>
      </c>
      <c r="AC370">
        <f t="shared" si="74"/>
        <v>0</v>
      </c>
      <c r="AD370">
        <f t="shared" si="75"/>
        <v>0</v>
      </c>
      <c r="AE370">
        <f t="shared" si="70"/>
        <v>0</v>
      </c>
      <c r="AF370">
        <f t="shared" si="76"/>
        <v>531059.59788034181</v>
      </c>
      <c r="AG370">
        <f t="shared" si="77"/>
        <v>280000</v>
      </c>
      <c r="AO370">
        <f t="shared" si="78"/>
        <v>362</v>
      </c>
      <c r="AP370">
        <f t="shared" si="79"/>
        <v>0</v>
      </c>
      <c r="AQ370">
        <f t="shared" si="80"/>
        <v>0</v>
      </c>
      <c r="AR370">
        <f t="shared" si="81"/>
        <v>0</v>
      </c>
      <c r="AS370">
        <f t="shared" si="71"/>
        <v>0</v>
      </c>
      <c r="AT370">
        <f t="shared" si="82"/>
        <v>250155.11224442557</v>
      </c>
      <c r="AU370">
        <f t="shared" si="83"/>
        <v>279999.99999999988</v>
      </c>
    </row>
    <row r="371" spans="27:47" ht="14.4">
      <c r="AA371">
        <f t="shared" si="72"/>
        <v>363</v>
      </c>
      <c r="AB371">
        <f t="shared" si="73"/>
        <v>0</v>
      </c>
      <c r="AC371">
        <f t="shared" si="74"/>
        <v>0</v>
      </c>
      <c r="AD371">
        <f t="shared" si="75"/>
        <v>0</v>
      </c>
      <c r="AE371">
        <f t="shared" si="70"/>
        <v>0</v>
      </c>
      <c r="AF371">
        <f t="shared" si="76"/>
        <v>531059.59788034181</v>
      </c>
      <c r="AG371">
        <f t="shared" si="77"/>
        <v>280000</v>
      </c>
      <c r="AO371">
        <f t="shared" si="78"/>
        <v>363</v>
      </c>
      <c r="AP371">
        <f t="shared" si="79"/>
        <v>0</v>
      </c>
      <c r="AQ371">
        <f t="shared" si="80"/>
        <v>0</v>
      </c>
      <c r="AR371">
        <f t="shared" si="81"/>
        <v>0</v>
      </c>
      <c r="AS371">
        <f t="shared" si="71"/>
        <v>0</v>
      </c>
      <c r="AT371">
        <f t="shared" si="82"/>
        <v>250155.11224442557</v>
      </c>
      <c r="AU371">
        <f t="shared" si="83"/>
        <v>279999.99999999988</v>
      </c>
    </row>
    <row r="372" spans="27:47" ht="14.4">
      <c r="AA372">
        <f t="shared" si="72"/>
        <v>364</v>
      </c>
      <c r="AB372">
        <f t="shared" si="73"/>
        <v>0</v>
      </c>
      <c r="AC372">
        <f t="shared" si="74"/>
        <v>0</v>
      </c>
      <c r="AD372">
        <f t="shared" si="75"/>
        <v>0</v>
      </c>
      <c r="AE372">
        <f t="shared" si="70"/>
        <v>0</v>
      </c>
      <c r="AF372">
        <f t="shared" si="76"/>
        <v>531059.59788034181</v>
      </c>
      <c r="AG372">
        <f t="shared" si="77"/>
        <v>280000</v>
      </c>
      <c r="AO372">
        <f t="shared" si="78"/>
        <v>364</v>
      </c>
      <c r="AP372">
        <f t="shared" si="79"/>
        <v>0</v>
      </c>
      <c r="AQ372">
        <f t="shared" si="80"/>
        <v>0</v>
      </c>
      <c r="AR372">
        <f t="shared" si="81"/>
        <v>0</v>
      </c>
      <c r="AS372">
        <f t="shared" si="71"/>
        <v>0</v>
      </c>
      <c r="AT372">
        <f t="shared" si="82"/>
        <v>250155.11224442557</v>
      </c>
      <c r="AU372">
        <f t="shared" si="83"/>
        <v>279999.99999999988</v>
      </c>
    </row>
    <row r="373" spans="27:47" ht="14.4">
      <c r="AA373">
        <f t="shared" si="72"/>
        <v>365</v>
      </c>
      <c r="AB373">
        <f t="shared" si="73"/>
        <v>0</v>
      </c>
      <c r="AC373">
        <f t="shared" si="74"/>
        <v>0</v>
      </c>
      <c r="AD373">
        <f t="shared" si="75"/>
        <v>0</v>
      </c>
      <c r="AE373">
        <f t="shared" si="70"/>
        <v>0</v>
      </c>
      <c r="AF373">
        <f t="shared" si="76"/>
        <v>531059.59788034181</v>
      </c>
      <c r="AG373">
        <f t="shared" si="77"/>
        <v>280000</v>
      </c>
      <c r="AO373">
        <f t="shared" si="78"/>
        <v>365</v>
      </c>
      <c r="AP373">
        <f t="shared" si="79"/>
        <v>0</v>
      </c>
      <c r="AQ373">
        <f t="shared" si="80"/>
        <v>0</v>
      </c>
      <c r="AR373">
        <f t="shared" si="81"/>
        <v>0</v>
      </c>
      <c r="AS373">
        <f t="shared" si="71"/>
        <v>0</v>
      </c>
      <c r="AT373">
        <f t="shared" si="82"/>
        <v>250155.11224442557</v>
      </c>
      <c r="AU373">
        <f t="shared" si="83"/>
        <v>279999.99999999988</v>
      </c>
    </row>
    <row r="374" spans="27:47" ht="14.4">
      <c r="AA374">
        <f t="shared" si="72"/>
        <v>366</v>
      </c>
      <c r="AB374">
        <f t="shared" si="73"/>
        <v>0</v>
      </c>
      <c r="AC374">
        <f t="shared" si="74"/>
        <v>0</v>
      </c>
      <c r="AD374">
        <f t="shared" si="75"/>
        <v>0</v>
      </c>
      <c r="AE374">
        <f t="shared" si="70"/>
        <v>0</v>
      </c>
      <c r="AF374">
        <f t="shared" si="76"/>
        <v>531059.59788034181</v>
      </c>
      <c r="AG374">
        <f t="shared" si="77"/>
        <v>280000</v>
      </c>
      <c r="AO374">
        <f t="shared" si="78"/>
        <v>366</v>
      </c>
      <c r="AP374">
        <f t="shared" si="79"/>
        <v>0</v>
      </c>
      <c r="AQ374">
        <f t="shared" si="80"/>
        <v>0</v>
      </c>
      <c r="AR374">
        <f t="shared" si="81"/>
        <v>0</v>
      </c>
      <c r="AS374">
        <f t="shared" si="71"/>
        <v>0</v>
      </c>
      <c r="AT374">
        <f t="shared" si="82"/>
        <v>250155.11224442557</v>
      </c>
      <c r="AU374">
        <f t="shared" si="83"/>
        <v>279999.99999999988</v>
      </c>
    </row>
    <row r="375" spans="27:47" ht="14.4">
      <c r="AA375">
        <f t="shared" si="72"/>
        <v>367</v>
      </c>
      <c r="AB375">
        <f t="shared" si="73"/>
        <v>0</v>
      </c>
      <c r="AC375">
        <f t="shared" si="74"/>
        <v>0</v>
      </c>
      <c r="AD375">
        <f t="shared" si="75"/>
        <v>0</v>
      </c>
      <c r="AE375">
        <f t="shared" si="70"/>
        <v>0</v>
      </c>
      <c r="AF375">
        <f t="shared" si="76"/>
        <v>531059.59788034181</v>
      </c>
      <c r="AG375">
        <f t="shared" si="77"/>
        <v>280000</v>
      </c>
      <c r="AO375">
        <f t="shared" si="78"/>
        <v>367</v>
      </c>
      <c r="AP375">
        <f t="shared" si="79"/>
        <v>0</v>
      </c>
      <c r="AQ375">
        <f t="shared" si="80"/>
        <v>0</v>
      </c>
      <c r="AR375">
        <f t="shared" si="81"/>
        <v>0</v>
      </c>
      <c r="AS375">
        <f t="shared" si="71"/>
        <v>0</v>
      </c>
      <c r="AT375">
        <f t="shared" si="82"/>
        <v>250155.11224442557</v>
      </c>
      <c r="AU375">
        <f t="shared" si="83"/>
        <v>279999.99999999988</v>
      </c>
    </row>
    <row r="376" spans="27:47" ht="14.4">
      <c r="AA376">
        <f t="shared" si="72"/>
        <v>368</v>
      </c>
      <c r="AB376">
        <f t="shared" si="73"/>
        <v>0</v>
      </c>
      <c r="AC376">
        <f t="shared" si="74"/>
        <v>0</v>
      </c>
      <c r="AD376">
        <f t="shared" si="75"/>
        <v>0</v>
      </c>
      <c r="AE376">
        <f t="shared" si="70"/>
        <v>0</v>
      </c>
      <c r="AF376">
        <f t="shared" si="76"/>
        <v>531059.59788034181</v>
      </c>
      <c r="AG376">
        <f t="shared" si="77"/>
        <v>280000</v>
      </c>
      <c r="AO376">
        <f t="shared" si="78"/>
        <v>368</v>
      </c>
      <c r="AP376">
        <f t="shared" si="79"/>
        <v>0</v>
      </c>
      <c r="AQ376">
        <f t="shared" si="80"/>
        <v>0</v>
      </c>
      <c r="AR376">
        <f t="shared" si="81"/>
        <v>0</v>
      </c>
      <c r="AS376">
        <f t="shared" si="71"/>
        <v>0</v>
      </c>
      <c r="AT376">
        <f t="shared" si="82"/>
        <v>250155.11224442557</v>
      </c>
      <c r="AU376">
        <f t="shared" si="83"/>
        <v>279999.99999999988</v>
      </c>
    </row>
    <row r="377" spans="27:47" ht="14.4">
      <c r="AA377">
        <f t="shared" si="72"/>
        <v>369</v>
      </c>
      <c r="AB377">
        <f t="shared" si="73"/>
        <v>0</v>
      </c>
      <c r="AC377">
        <f t="shared" si="74"/>
        <v>0</v>
      </c>
      <c r="AD377">
        <f t="shared" si="75"/>
        <v>0</v>
      </c>
      <c r="AE377">
        <f t="shared" si="70"/>
        <v>0</v>
      </c>
      <c r="AF377">
        <f t="shared" si="76"/>
        <v>531059.59788034181</v>
      </c>
      <c r="AG377">
        <f t="shared" si="77"/>
        <v>280000</v>
      </c>
      <c r="AO377">
        <f t="shared" si="78"/>
        <v>369</v>
      </c>
      <c r="AP377">
        <f t="shared" si="79"/>
        <v>0</v>
      </c>
      <c r="AQ377">
        <f t="shared" si="80"/>
        <v>0</v>
      </c>
      <c r="AR377">
        <f t="shared" si="81"/>
        <v>0</v>
      </c>
      <c r="AS377">
        <f t="shared" si="71"/>
        <v>0</v>
      </c>
      <c r="AT377">
        <f t="shared" si="82"/>
        <v>250155.11224442557</v>
      </c>
      <c r="AU377">
        <f t="shared" si="83"/>
        <v>279999.99999999988</v>
      </c>
    </row>
    <row r="378" spans="27:47" ht="14.4">
      <c r="AA378">
        <f t="shared" si="72"/>
        <v>370</v>
      </c>
      <c r="AB378">
        <f t="shared" si="73"/>
        <v>0</v>
      </c>
      <c r="AC378">
        <f t="shared" si="74"/>
        <v>0</v>
      </c>
      <c r="AD378">
        <f t="shared" si="75"/>
        <v>0</v>
      </c>
      <c r="AE378">
        <f t="shared" si="70"/>
        <v>0</v>
      </c>
      <c r="AF378">
        <f t="shared" si="76"/>
        <v>531059.59788034181</v>
      </c>
      <c r="AG378">
        <f t="shared" si="77"/>
        <v>280000</v>
      </c>
      <c r="AO378">
        <f t="shared" si="78"/>
        <v>370</v>
      </c>
      <c r="AP378">
        <f t="shared" si="79"/>
        <v>0</v>
      </c>
      <c r="AQ378">
        <f t="shared" si="80"/>
        <v>0</v>
      </c>
      <c r="AR378">
        <f t="shared" si="81"/>
        <v>0</v>
      </c>
      <c r="AS378">
        <f t="shared" si="71"/>
        <v>0</v>
      </c>
      <c r="AT378">
        <f t="shared" si="82"/>
        <v>250155.11224442557</v>
      </c>
      <c r="AU378">
        <f t="shared" si="83"/>
        <v>279999.99999999988</v>
      </c>
    </row>
    <row r="379" spans="27:47" ht="14.4">
      <c r="AA379">
        <f t="shared" si="72"/>
        <v>371</v>
      </c>
      <c r="AB379">
        <f t="shared" si="73"/>
        <v>0</v>
      </c>
      <c r="AC379">
        <f t="shared" si="74"/>
        <v>0</v>
      </c>
      <c r="AD379">
        <f t="shared" si="75"/>
        <v>0</v>
      </c>
      <c r="AE379">
        <f t="shared" si="70"/>
        <v>0</v>
      </c>
      <c r="AF379">
        <f t="shared" si="76"/>
        <v>531059.59788034181</v>
      </c>
      <c r="AG379">
        <f t="shared" si="77"/>
        <v>280000</v>
      </c>
      <c r="AO379">
        <f t="shared" si="78"/>
        <v>371</v>
      </c>
      <c r="AP379">
        <f t="shared" si="79"/>
        <v>0</v>
      </c>
      <c r="AQ379">
        <f t="shared" si="80"/>
        <v>0</v>
      </c>
      <c r="AR379">
        <f t="shared" si="81"/>
        <v>0</v>
      </c>
      <c r="AS379">
        <f t="shared" si="71"/>
        <v>0</v>
      </c>
      <c r="AT379">
        <f t="shared" si="82"/>
        <v>250155.11224442557</v>
      </c>
      <c r="AU379">
        <f t="shared" si="83"/>
        <v>279999.99999999988</v>
      </c>
    </row>
    <row r="380" spans="27:47" ht="14.4">
      <c r="AA380">
        <f t="shared" si="72"/>
        <v>372</v>
      </c>
      <c r="AB380">
        <f t="shared" si="73"/>
        <v>0</v>
      </c>
      <c r="AC380">
        <f t="shared" si="74"/>
        <v>0</v>
      </c>
      <c r="AD380">
        <f t="shared" si="75"/>
        <v>0</v>
      </c>
      <c r="AE380">
        <f t="shared" si="70"/>
        <v>0</v>
      </c>
      <c r="AF380">
        <f t="shared" si="76"/>
        <v>531059.59788034181</v>
      </c>
      <c r="AG380">
        <f t="shared" si="77"/>
        <v>280000</v>
      </c>
      <c r="AO380">
        <f t="shared" si="78"/>
        <v>372</v>
      </c>
      <c r="AP380">
        <f t="shared" si="79"/>
        <v>0</v>
      </c>
      <c r="AQ380">
        <f t="shared" si="80"/>
        <v>0</v>
      </c>
      <c r="AR380">
        <f t="shared" si="81"/>
        <v>0</v>
      </c>
      <c r="AS380">
        <f t="shared" si="71"/>
        <v>0</v>
      </c>
      <c r="AT380">
        <f t="shared" si="82"/>
        <v>250155.11224442557</v>
      </c>
      <c r="AU380">
        <f t="shared" si="83"/>
        <v>279999.99999999988</v>
      </c>
    </row>
    <row r="381" spans="27:47" ht="14.4">
      <c r="AA381">
        <f t="shared" si="72"/>
        <v>373</v>
      </c>
      <c r="AB381">
        <f t="shared" si="73"/>
        <v>0</v>
      </c>
      <c r="AC381">
        <f t="shared" si="74"/>
        <v>0</v>
      </c>
      <c r="AD381">
        <f t="shared" si="75"/>
        <v>0</v>
      </c>
      <c r="AE381">
        <f t="shared" si="70"/>
        <v>0</v>
      </c>
      <c r="AF381">
        <f t="shared" si="76"/>
        <v>531059.59788034181</v>
      </c>
      <c r="AG381">
        <f t="shared" si="77"/>
        <v>280000</v>
      </c>
      <c r="AO381">
        <f t="shared" si="78"/>
        <v>373</v>
      </c>
      <c r="AP381">
        <f t="shared" si="79"/>
        <v>0</v>
      </c>
      <c r="AQ381">
        <f t="shared" si="80"/>
        <v>0</v>
      </c>
      <c r="AR381">
        <f t="shared" si="81"/>
        <v>0</v>
      </c>
      <c r="AS381">
        <f t="shared" si="71"/>
        <v>0</v>
      </c>
      <c r="AT381">
        <f t="shared" si="82"/>
        <v>250155.11224442557</v>
      </c>
      <c r="AU381">
        <f t="shared" si="83"/>
        <v>279999.99999999988</v>
      </c>
    </row>
    <row r="382" spans="27:47" ht="14.4">
      <c r="AA382">
        <f t="shared" si="72"/>
        <v>374</v>
      </c>
      <c r="AB382">
        <f t="shared" si="73"/>
        <v>0</v>
      </c>
      <c r="AC382">
        <f t="shared" si="74"/>
        <v>0</v>
      </c>
      <c r="AD382">
        <f t="shared" si="75"/>
        <v>0</v>
      </c>
      <c r="AE382">
        <f t="shared" si="70"/>
        <v>0</v>
      </c>
      <c r="AF382">
        <f t="shared" si="76"/>
        <v>531059.59788034181</v>
      </c>
      <c r="AG382">
        <f t="shared" si="77"/>
        <v>280000</v>
      </c>
      <c r="AO382">
        <f t="shared" si="78"/>
        <v>374</v>
      </c>
      <c r="AP382">
        <f t="shared" si="79"/>
        <v>0</v>
      </c>
      <c r="AQ382">
        <f t="shared" si="80"/>
        <v>0</v>
      </c>
      <c r="AR382">
        <f t="shared" si="81"/>
        <v>0</v>
      </c>
      <c r="AS382">
        <f t="shared" si="71"/>
        <v>0</v>
      </c>
      <c r="AT382">
        <f t="shared" si="82"/>
        <v>250155.11224442557</v>
      </c>
      <c r="AU382">
        <f t="shared" si="83"/>
        <v>279999.99999999988</v>
      </c>
    </row>
    <row r="383" spans="27:47" ht="14.4">
      <c r="AA383">
        <f t="shared" si="72"/>
        <v>375</v>
      </c>
      <c r="AB383">
        <f t="shared" si="73"/>
        <v>0</v>
      </c>
      <c r="AC383">
        <f t="shared" si="74"/>
        <v>0</v>
      </c>
      <c r="AD383">
        <f t="shared" si="75"/>
        <v>0</v>
      </c>
      <c r="AE383">
        <f t="shared" si="70"/>
        <v>0</v>
      </c>
      <c r="AF383">
        <f t="shared" si="76"/>
        <v>531059.59788034181</v>
      </c>
      <c r="AG383">
        <f t="shared" si="77"/>
        <v>280000</v>
      </c>
      <c r="AO383">
        <f t="shared" si="78"/>
        <v>375</v>
      </c>
      <c r="AP383">
        <f t="shared" si="79"/>
        <v>0</v>
      </c>
      <c r="AQ383">
        <f t="shared" si="80"/>
        <v>0</v>
      </c>
      <c r="AR383">
        <f t="shared" si="81"/>
        <v>0</v>
      </c>
      <c r="AS383">
        <f t="shared" si="71"/>
        <v>0</v>
      </c>
      <c r="AT383">
        <f t="shared" si="82"/>
        <v>250155.11224442557</v>
      </c>
      <c r="AU383">
        <f t="shared" si="83"/>
        <v>279999.99999999988</v>
      </c>
    </row>
    <row r="384" spans="27:47" ht="14.4">
      <c r="AA384">
        <f t="shared" si="72"/>
        <v>376</v>
      </c>
      <c r="AB384">
        <f t="shared" si="73"/>
        <v>0</v>
      </c>
      <c r="AC384">
        <f t="shared" si="74"/>
        <v>0</v>
      </c>
      <c r="AD384">
        <f t="shared" si="75"/>
        <v>0</v>
      </c>
      <c r="AE384">
        <f t="shared" si="70"/>
        <v>0</v>
      </c>
      <c r="AF384">
        <f t="shared" si="76"/>
        <v>531059.59788034181</v>
      </c>
      <c r="AG384">
        <f t="shared" si="77"/>
        <v>280000</v>
      </c>
      <c r="AO384">
        <f t="shared" si="78"/>
        <v>376</v>
      </c>
      <c r="AP384">
        <f t="shared" si="79"/>
        <v>0</v>
      </c>
      <c r="AQ384">
        <f t="shared" si="80"/>
        <v>0</v>
      </c>
      <c r="AR384">
        <f t="shared" si="81"/>
        <v>0</v>
      </c>
      <c r="AS384">
        <f t="shared" si="71"/>
        <v>0</v>
      </c>
      <c r="AT384">
        <f t="shared" si="82"/>
        <v>250155.11224442557</v>
      </c>
      <c r="AU384">
        <f t="shared" si="83"/>
        <v>279999.99999999988</v>
      </c>
    </row>
    <row r="385" spans="27:47" ht="14.4">
      <c r="AA385">
        <f t="shared" si="72"/>
        <v>377</v>
      </c>
      <c r="AB385">
        <f t="shared" si="73"/>
        <v>0</v>
      </c>
      <c r="AC385">
        <f t="shared" si="74"/>
        <v>0</v>
      </c>
      <c r="AD385">
        <f t="shared" si="75"/>
        <v>0</v>
      </c>
      <c r="AE385">
        <f t="shared" si="70"/>
        <v>0</v>
      </c>
      <c r="AF385">
        <f t="shared" si="76"/>
        <v>531059.59788034181</v>
      </c>
      <c r="AG385">
        <f t="shared" si="77"/>
        <v>280000</v>
      </c>
      <c r="AO385">
        <f t="shared" si="78"/>
        <v>377</v>
      </c>
      <c r="AP385">
        <f t="shared" si="79"/>
        <v>0</v>
      </c>
      <c r="AQ385">
        <f t="shared" si="80"/>
        <v>0</v>
      </c>
      <c r="AR385">
        <f t="shared" si="81"/>
        <v>0</v>
      </c>
      <c r="AS385">
        <f t="shared" si="71"/>
        <v>0</v>
      </c>
      <c r="AT385">
        <f t="shared" si="82"/>
        <v>250155.11224442557</v>
      </c>
      <c r="AU385">
        <f t="shared" si="83"/>
        <v>279999.99999999988</v>
      </c>
    </row>
    <row r="386" spans="27:47" ht="14.4">
      <c r="AA386">
        <f t="shared" si="72"/>
        <v>378</v>
      </c>
      <c r="AB386">
        <f t="shared" si="73"/>
        <v>0</v>
      </c>
      <c r="AC386">
        <f t="shared" si="74"/>
        <v>0</v>
      </c>
      <c r="AD386">
        <f t="shared" si="75"/>
        <v>0</v>
      </c>
      <c r="AE386">
        <f t="shared" si="70"/>
        <v>0</v>
      </c>
      <c r="AF386">
        <f t="shared" si="76"/>
        <v>531059.59788034181</v>
      </c>
      <c r="AG386">
        <f t="shared" si="77"/>
        <v>280000</v>
      </c>
      <c r="AO386">
        <f t="shared" si="78"/>
        <v>378</v>
      </c>
      <c r="AP386">
        <f t="shared" si="79"/>
        <v>0</v>
      </c>
      <c r="AQ386">
        <f t="shared" si="80"/>
        <v>0</v>
      </c>
      <c r="AR386">
        <f t="shared" si="81"/>
        <v>0</v>
      </c>
      <c r="AS386">
        <f t="shared" si="71"/>
        <v>0</v>
      </c>
      <c r="AT386">
        <f t="shared" si="82"/>
        <v>250155.11224442557</v>
      </c>
      <c r="AU386">
        <f t="shared" si="83"/>
        <v>279999.99999999988</v>
      </c>
    </row>
    <row r="387" spans="27:47" ht="14.4">
      <c r="AA387">
        <f t="shared" si="72"/>
        <v>379</v>
      </c>
      <c r="AB387">
        <f t="shared" si="73"/>
        <v>0</v>
      </c>
      <c r="AC387">
        <f t="shared" si="74"/>
        <v>0</v>
      </c>
      <c r="AD387">
        <f t="shared" si="75"/>
        <v>0</v>
      </c>
      <c r="AE387">
        <f t="shared" si="70"/>
        <v>0</v>
      </c>
      <c r="AF387">
        <f t="shared" si="76"/>
        <v>531059.59788034181</v>
      </c>
      <c r="AG387">
        <f t="shared" si="77"/>
        <v>280000</v>
      </c>
      <c r="AO387">
        <f t="shared" si="78"/>
        <v>379</v>
      </c>
      <c r="AP387">
        <f t="shared" si="79"/>
        <v>0</v>
      </c>
      <c r="AQ387">
        <f t="shared" si="80"/>
        <v>0</v>
      </c>
      <c r="AR387">
        <f t="shared" si="81"/>
        <v>0</v>
      </c>
      <c r="AS387">
        <f t="shared" si="71"/>
        <v>0</v>
      </c>
      <c r="AT387">
        <f t="shared" si="82"/>
        <v>250155.11224442557</v>
      </c>
      <c r="AU387">
        <f t="shared" si="83"/>
        <v>279999.99999999988</v>
      </c>
    </row>
    <row r="388" spans="27:47" ht="14.4">
      <c r="AA388">
        <f t="shared" si="72"/>
        <v>380</v>
      </c>
      <c r="AB388">
        <f t="shared" si="73"/>
        <v>0</v>
      </c>
      <c r="AC388">
        <f t="shared" si="74"/>
        <v>0</v>
      </c>
      <c r="AD388">
        <f t="shared" si="75"/>
        <v>0</v>
      </c>
      <c r="AE388">
        <f t="shared" si="70"/>
        <v>0</v>
      </c>
      <c r="AF388">
        <f t="shared" si="76"/>
        <v>531059.59788034181</v>
      </c>
      <c r="AG388">
        <f t="shared" si="77"/>
        <v>280000</v>
      </c>
      <c r="AO388">
        <f t="shared" si="78"/>
        <v>380</v>
      </c>
      <c r="AP388">
        <f t="shared" si="79"/>
        <v>0</v>
      </c>
      <c r="AQ388">
        <f t="shared" si="80"/>
        <v>0</v>
      </c>
      <c r="AR388">
        <f t="shared" si="81"/>
        <v>0</v>
      </c>
      <c r="AS388">
        <f t="shared" si="71"/>
        <v>0</v>
      </c>
      <c r="AT388">
        <f t="shared" si="82"/>
        <v>250155.11224442557</v>
      </c>
      <c r="AU388">
        <f t="shared" si="83"/>
        <v>279999.99999999988</v>
      </c>
    </row>
    <row r="389" spans="27:47" ht="14.4">
      <c r="AA389">
        <f t="shared" si="72"/>
        <v>381</v>
      </c>
      <c r="AB389">
        <f t="shared" si="73"/>
        <v>0</v>
      </c>
      <c r="AC389">
        <f t="shared" si="74"/>
        <v>0</v>
      </c>
      <c r="AD389">
        <f t="shared" si="75"/>
        <v>0</v>
      </c>
      <c r="AE389">
        <f t="shared" si="70"/>
        <v>0</v>
      </c>
      <c r="AF389">
        <f t="shared" si="76"/>
        <v>531059.59788034181</v>
      </c>
      <c r="AG389">
        <f t="shared" si="77"/>
        <v>280000</v>
      </c>
      <c r="AO389">
        <f t="shared" si="78"/>
        <v>381</v>
      </c>
      <c r="AP389">
        <f t="shared" si="79"/>
        <v>0</v>
      </c>
      <c r="AQ389">
        <f t="shared" si="80"/>
        <v>0</v>
      </c>
      <c r="AR389">
        <f t="shared" si="81"/>
        <v>0</v>
      </c>
      <c r="AS389">
        <f t="shared" si="71"/>
        <v>0</v>
      </c>
      <c r="AT389">
        <f t="shared" si="82"/>
        <v>250155.11224442557</v>
      </c>
      <c r="AU389">
        <f t="shared" si="83"/>
        <v>279999.99999999988</v>
      </c>
    </row>
    <row r="390" spans="27:47" ht="14.4">
      <c r="AA390">
        <f t="shared" si="72"/>
        <v>382</v>
      </c>
      <c r="AB390">
        <f t="shared" si="73"/>
        <v>0</v>
      </c>
      <c r="AC390">
        <f t="shared" si="74"/>
        <v>0</v>
      </c>
      <c r="AD390">
        <f t="shared" si="75"/>
        <v>0</v>
      </c>
      <c r="AE390">
        <f t="shared" si="70"/>
        <v>0</v>
      </c>
      <c r="AF390">
        <f t="shared" si="76"/>
        <v>531059.59788034181</v>
      </c>
      <c r="AG390">
        <f t="shared" si="77"/>
        <v>280000</v>
      </c>
      <c r="AO390">
        <f t="shared" si="78"/>
        <v>382</v>
      </c>
      <c r="AP390">
        <f t="shared" si="79"/>
        <v>0</v>
      </c>
      <c r="AQ390">
        <f t="shared" si="80"/>
        <v>0</v>
      </c>
      <c r="AR390">
        <f t="shared" si="81"/>
        <v>0</v>
      </c>
      <c r="AS390">
        <f t="shared" si="71"/>
        <v>0</v>
      </c>
      <c r="AT390">
        <f t="shared" si="82"/>
        <v>250155.11224442557</v>
      </c>
      <c r="AU390">
        <f t="shared" si="83"/>
        <v>279999.99999999988</v>
      </c>
    </row>
    <row r="391" spans="27:47" ht="14.4">
      <c r="AA391">
        <f t="shared" si="72"/>
        <v>383</v>
      </c>
      <c r="AB391">
        <f t="shared" si="73"/>
        <v>0</v>
      </c>
      <c r="AC391">
        <f t="shared" si="74"/>
        <v>0</v>
      </c>
      <c r="AD391">
        <f t="shared" si="75"/>
        <v>0</v>
      </c>
      <c r="AE391">
        <f t="shared" si="70"/>
        <v>0</v>
      </c>
      <c r="AF391">
        <f t="shared" si="76"/>
        <v>531059.59788034181</v>
      </c>
      <c r="AG391">
        <f t="shared" si="77"/>
        <v>280000</v>
      </c>
      <c r="AO391">
        <f t="shared" si="78"/>
        <v>383</v>
      </c>
      <c r="AP391">
        <f t="shared" si="79"/>
        <v>0</v>
      </c>
      <c r="AQ391">
        <f t="shared" si="80"/>
        <v>0</v>
      </c>
      <c r="AR391">
        <f t="shared" si="81"/>
        <v>0</v>
      </c>
      <c r="AS391">
        <f t="shared" si="71"/>
        <v>0</v>
      </c>
      <c r="AT391">
        <f t="shared" si="82"/>
        <v>250155.11224442557</v>
      </c>
      <c r="AU391">
        <f t="shared" si="83"/>
        <v>279999.99999999988</v>
      </c>
    </row>
    <row r="392" spans="27:47" ht="14.4">
      <c r="AA392">
        <f t="shared" si="72"/>
        <v>384</v>
      </c>
      <c r="AB392">
        <f t="shared" si="73"/>
        <v>0</v>
      </c>
      <c r="AC392">
        <f t="shared" si="74"/>
        <v>0</v>
      </c>
      <c r="AD392">
        <f t="shared" si="75"/>
        <v>0</v>
      </c>
      <c r="AE392">
        <f t="shared" si="70"/>
        <v>0</v>
      </c>
      <c r="AF392">
        <f t="shared" si="76"/>
        <v>531059.59788034181</v>
      </c>
      <c r="AG392">
        <f t="shared" si="77"/>
        <v>280000</v>
      </c>
      <c r="AO392">
        <f t="shared" si="78"/>
        <v>384</v>
      </c>
      <c r="AP392">
        <f t="shared" si="79"/>
        <v>0</v>
      </c>
      <c r="AQ392">
        <f t="shared" si="80"/>
        <v>0</v>
      </c>
      <c r="AR392">
        <f t="shared" si="81"/>
        <v>0</v>
      </c>
      <c r="AS392">
        <f t="shared" si="71"/>
        <v>0</v>
      </c>
      <c r="AT392">
        <f t="shared" si="82"/>
        <v>250155.11224442557</v>
      </c>
      <c r="AU392">
        <f t="shared" si="83"/>
        <v>279999.99999999988</v>
      </c>
    </row>
    <row r="393" spans="27:47" ht="14.4">
      <c r="AA393">
        <f t="shared" si="72"/>
        <v>385</v>
      </c>
      <c r="AB393">
        <f t="shared" si="73"/>
        <v>0</v>
      </c>
      <c r="AC393">
        <f t="shared" si="74"/>
        <v>0</v>
      </c>
      <c r="AD393">
        <f t="shared" si="75"/>
        <v>0</v>
      </c>
      <c r="AE393">
        <f t="shared" ref="AE393:AE456" si="84">MAX(0,AD393-AC393)</f>
        <v>0</v>
      </c>
      <c r="AF393">
        <f t="shared" si="76"/>
        <v>531059.59788034181</v>
      </c>
      <c r="AG393">
        <f t="shared" si="77"/>
        <v>280000</v>
      </c>
      <c r="AO393">
        <f t="shared" si="78"/>
        <v>385</v>
      </c>
      <c r="AP393">
        <f t="shared" si="79"/>
        <v>0</v>
      </c>
      <c r="AQ393">
        <f t="shared" si="80"/>
        <v>0</v>
      </c>
      <c r="AR393">
        <f t="shared" si="81"/>
        <v>0</v>
      </c>
      <c r="AS393">
        <f t="shared" ref="AS393:AS456" si="85">MAX(0,AR393-AQ393)</f>
        <v>0</v>
      </c>
      <c r="AT393">
        <f t="shared" si="82"/>
        <v>250155.11224442557</v>
      </c>
      <c r="AU393">
        <f t="shared" si="83"/>
        <v>279999.99999999988</v>
      </c>
    </row>
    <row r="394" spans="27:47" ht="14.4">
      <c r="AA394">
        <f t="shared" ref="AA394:AA457" si="86">AA393+1</f>
        <v>386</v>
      </c>
      <c r="AB394">
        <f t="shared" ref="AB394:AB457" si="87">MAX(0,AB393-AE394)</f>
        <v>0</v>
      </c>
      <c r="AC394">
        <f t="shared" ref="AC394:AC457" si="88">IF(AB393&lt;=0,0,AB393*$AA$6)</f>
        <v>0</v>
      </c>
      <c r="AD394">
        <f t="shared" ref="AD394:AD457" si="89">IF(AB393&lt;=0,0,MIN($AC$6,AB393+AC394))</f>
        <v>0</v>
      </c>
      <c r="AE394">
        <f t="shared" si="84"/>
        <v>0</v>
      </c>
      <c r="AF394">
        <f t="shared" ref="AF394:AF457" si="90">AF393+AC394</f>
        <v>531059.59788034181</v>
      </c>
      <c r="AG394">
        <f t="shared" ref="AG394:AG457" si="91">AG393+AE394</f>
        <v>280000</v>
      </c>
      <c r="AO394">
        <f t="shared" ref="AO394:AO457" si="92">AO393+1</f>
        <v>386</v>
      </c>
      <c r="AP394">
        <f t="shared" ref="AP394:AP457" si="93">MAX(0,AP393-AS394)</f>
        <v>0</v>
      </c>
      <c r="AQ394">
        <f t="shared" ref="AQ394:AQ457" si="94">IF(AP393&lt;=0,0,AP393*$AA$6)</f>
        <v>0</v>
      </c>
      <c r="AR394">
        <f t="shared" ref="AR394:AR457" si="95">IF(AP393&lt;=0,0,MIN($AD$6,AP393+AQ394))</f>
        <v>0</v>
      </c>
      <c r="AS394">
        <f t="shared" si="85"/>
        <v>0</v>
      </c>
      <c r="AT394">
        <f t="shared" ref="AT394:AT457" si="96">AT393+AQ394</f>
        <v>250155.11224442557</v>
      </c>
      <c r="AU394">
        <f t="shared" ref="AU394:AU457" si="97">AU393+AS394</f>
        <v>279999.99999999988</v>
      </c>
    </row>
    <row r="395" spans="27:47" ht="14.4">
      <c r="AA395">
        <f t="shared" si="86"/>
        <v>387</v>
      </c>
      <c r="AB395">
        <f t="shared" si="87"/>
        <v>0</v>
      </c>
      <c r="AC395">
        <f t="shared" si="88"/>
        <v>0</v>
      </c>
      <c r="AD395">
        <f t="shared" si="89"/>
        <v>0</v>
      </c>
      <c r="AE395">
        <f t="shared" si="84"/>
        <v>0</v>
      </c>
      <c r="AF395">
        <f t="shared" si="90"/>
        <v>531059.59788034181</v>
      </c>
      <c r="AG395">
        <f t="shared" si="91"/>
        <v>280000</v>
      </c>
      <c r="AO395">
        <f t="shared" si="92"/>
        <v>387</v>
      </c>
      <c r="AP395">
        <f t="shared" si="93"/>
        <v>0</v>
      </c>
      <c r="AQ395">
        <f t="shared" si="94"/>
        <v>0</v>
      </c>
      <c r="AR395">
        <f t="shared" si="95"/>
        <v>0</v>
      </c>
      <c r="AS395">
        <f t="shared" si="85"/>
        <v>0</v>
      </c>
      <c r="AT395">
        <f t="shared" si="96"/>
        <v>250155.11224442557</v>
      </c>
      <c r="AU395">
        <f t="shared" si="97"/>
        <v>279999.99999999988</v>
      </c>
    </row>
    <row r="396" spans="27:47" ht="14.4">
      <c r="AA396">
        <f t="shared" si="86"/>
        <v>388</v>
      </c>
      <c r="AB396">
        <f t="shared" si="87"/>
        <v>0</v>
      </c>
      <c r="AC396">
        <f t="shared" si="88"/>
        <v>0</v>
      </c>
      <c r="AD396">
        <f t="shared" si="89"/>
        <v>0</v>
      </c>
      <c r="AE396">
        <f t="shared" si="84"/>
        <v>0</v>
      </c>
      <c r="AF396">
        <f t="shared" si="90"/>
        <v>531059.59788034181</v>
      </c>
      <c r="AG396">
        <f t="shared" si="91"/>
        <v>280000</v>
      </c>
      <c r="AO396">
        <f t="shared" si="92"/>
        <v>388</v>
      </c>
      <c r="AP396">
        <f t="shared" si="93"/>
        <v>0</v>
      </c>
      <c r="AQ396">
        <f t="shared" si="94"/>
        <v>0</v>
      </c>
      <c r="AR396">
        <f t="shared" si="95"/>
        <v>0</v>
      </c>
      <c r="AS396">
        <f t="shared" si="85"/>
        <v>0</v>
      </c>
      <c r="AT396">
        <f t="shared" si="96"/>
        <v>250155.11224442557</v>
      </c>
      <c r="AU396">
        <f t="shared" si="97"/>
        <v>279999.99999999988</v>
      </c>
    </row>
    <row r="397" spans="27:47" ht="14.4">
      <c r="AA397">
        <f t="shared" si="86"/>
        <v>389</v>
      </c>
      <c r="AB397">
        <f t="shared" si="87"/>
        <v>0</v>
      </c>
      <c r="AC397">
        <f t="shared" si="88"/>
        <v>0</v>
      </c>
      <c r="AD397">
        <f t="shared" si="89"/>
        <v>0</v>
      </c>
      <c r="AE397">
        <f t="shared" si="84"/>
        <v>0</v>
      </c>
      <c r="AF397">
        <f t="shared" si="90"/>
        <v>531059.59788034181</v>
      </c>
      <c r="AG397">
        <f t="shared" si="91"/>
        <v>280000</v>
      </c>
      <c r="AO397">
        <f t="shared" si="92"/>
        <v>389</v>
      </c>
      <c r="AP397">
        <f t="shared" si="93"/>
        <v>0</v>
      </c>
      <c r="AQ397">
        <f t="shared" si="94"/>
        <v>0</v>
      </c>
      <c r="AR397">
        <f t="shared" si="95"/>
        <v>0</v>
      </c>
      <c r="AS397">
        <f t="shared" si="85"/>
        <v>0</v>
      </c>
      <c r="AT397">
        <f t="shared" si="96"/>
        <v>250155.11224442557</v>
      </c>
      <c r="AU397">
        <f t="shared" si="97"/>
        <v>279999.99999999988</v>
      </c>
    </row>
    <row r="398" spans="27:47" ht="14.4">
      <c r="AA398">
        <f t="shared" si="86"/>
        <v>390</v>
      </c>
      <c r="AB398">
        <f t="shared" si="87"/>
        <v>0</v>
      </c>
      <c r="AC398">
        <f t="shared" si="88"/>
        <v>0</v>
      </c>
      <c r="AD398">
        <f t="shared" si="89"/>
        <v>0</v>
      </c>
      <c r="AE398">
        <f t="shared" si="84"/>
        <v>0</v>
      </c>
      <c r="AF398">
        <f t="shared" si="90"/>
        <v>531059.59788034181</v>
      </c>
      <c r="AG398">
        <f t="shared" si="91"/>
        <v>280000</v>
      </c>
      <c r="AO398">
        <f t="shared" si="92"/>
        <v>390</v>
      </c>
      <c r="AP398">
        <f t="shared" si="93"/>
        <v>0</v>
      </c>
      <c r="AQ398">
        <f t="shared" si="94"/>
        <v>0</v>
      </c>
      <c r="AR398">
        <f t="shared" si="95"/>
        <v>0</v>
      </c>
      <c r="AS398">
        <f t="shared" si="85"/>
        <v>0</v>
      </c>
      <c r="AT398">
        <f t="shared" si="96"/>
        <v>250155.11224442557</v>
      </c>
      <c r="AU398">
        <f t="shared" si="97"/>
        <v>279999.99999999988</v>
      </c>
    </row>
    <row r="399" spans="27:47" ht="14.4">
      <c r="AA399">
        <f t="shared" si="86"/>
        <v>391</v>
      </c>
      <c r="AB399">
        <f t="shared" si="87"/>
        <v>0</v>
      </c>
      <c r="AC399">
        <f t="shared" si="88"/>
        <v>0</v>
      </c>
      <c r="AD399">
        <f t="shared" si="89"/>
        <v>0</v>
      </c>
      <c r="AE399">
        <f t="shared" si="84"/>
        <v>0</v>
      </c>
      <c r="AF399">
        <f t="shared" si="90"/>
        <v>531059.59788034181</v>
      </c>
      <c r="AG399">
        <f t="shared" si="91"/>
        <v>280000</v>
      </c>
      <c r="AO399">
        <f t="shared" si="92"/>
        <v>391</v>
      </c>
      <c r="AP399">
        <f t="shared" si="93"/>
        <v>0</v>
      </c>
      <c r="AQ399">
        <f t="shared" si="94"/>
        <v>0</v>
      </c>
      <c r="AR399">
        <f t="shared" si="95"/>
        <v>0</v>
      </c>
      <c r="AS399">
        <f t="shared" si="85"/>
        <v>0</v>
      </c>
      <c r="AT399">
        <f t="shared" si="96"/>
        <v>250155.11224442557</v>
      </c>
      <c r="AU399">
        <f t="shared" si="97"/>
        <v>279999.99999999988</v>
      </c>
    </row>
    <row r="400" spans="27:47" ht="14.4">
      <c r="AA400">
        <f t="shared" si="86"/>
        <v>392</v>
      </c>
      <c r="AB400">
        <f t="shared" si="87"/>
        <v>0</v>
      </c>
      <c r="AC400">
        <f t="shared" si="88"/>
        <v>0</v>
      </c>
      <c r="AD400">
        <f t="shared" si="89"/>
        <v>0</v>
      </c>
      <c r="AE400">
        <f t="shared" si="84"/>
        <v>0</v>
      </c>
      <c r="AF400">
        <f t="shared" si="90"/>
        <v>531059.59788034181</v>
      </c>
      <c r="AG400">
        <f t="shared" si="91"/>
        <v>280000</v>
      </c>
      <c r="AO400">
        <f t="shared" si="92"/>
        <v>392</v>
      </c>
      <c r="AP400">
        <f t="shared" si="93"/>
        <v>0</v>
      </c>
      <c r="AQ400">
        <f t="shared" si="94"/>
        <v>0</v>
      </c>
      <c r="AR400">
        <f t="shared" si="95"/>
        <v>0</v>
      </c>
      <c r="AS400">
        <f t="shared" si="85"/>
        <v>0</v>
      </c>
      <c r="AT400">
        <f t="shared" si="96"/>
        <v>250155.11224442557</v>
      </c>
      <c r="AU400">
        <f t="shared" si="97"/>
        <v>279999.99999999988</v>
      </c>
    </row>
    <row r="401" spans="27:47" ht="14.4">
      <c r="AA401">
        <f t="shared" si="86"/>
        <v>393</v>
      </c>
      <c r="AB401">
        <f t="shared" si="87"/>
        <v>0</v>
      </c>
      <c r="AC401">
        <f t="shared" si="88"/>
        <v>0</v>
      </c>
      <c r="AD401">
        <f t="shared" si="89"/>
        <v>0</v>
      </c>
      <c r="AE401">
        <f t="shared" si="84"/>
        <v>0</v>
      </c>
      <c r="AF401">
        <f t="shared" si="90"/>
        <v>531059.59788034181</v>
      </c>
      <c r="AG401">
        <f t="shared" si="91"/>
        <v>280000</v>
      </c>
      <c r="AO401">
        <f t="shared" si="92"/>
        <v>393</v>
      </c>
      <c r="AP401">
        <f t="shared" si="93"/>
        <v>0</v>
      </c>
      <c r="AQ401">
        <f t="shared" si="94"/>
        <v>0</v>
      </c>
      <c r="AR401">
        <f t="shared" si="95"/>
        <v>0</v>
      </c>
      <c r="AS401">
        <f t="shared" si="85"/>
        <v>0</v>
      </c>
      <c r="AT401">
        <f t="shared" si="96"/>
        <v>250155.11224442557</v>
      </c>
      <c r="AU401">
        <f t="shared" si="97"/>
        <v>279999.99999999988</v>
      </c>
    </row>
    <row r="402" spans="27:47" ht="14.4">
      <c r="AA402">
        <f t="shared" si="86"/>
        <v>394</v>
      </c>
      <c r="AB402">
        <f t="shared" si="87"/>
        <v>0</v>
      </c>
      <c r="AC402">
        <f t="shared" si="88"/>
        <v>0</v>
      </c>
      <c r="AD402">
        <f t="shared" si="89"/>
        <v>0</v>
      </c>
      <c r="AE402">
        <f t="shared" si="84"/>
        <v>0</v>
      </c>
      <c r="AF402">
        <f t="shared" si="90"/>
        <v>531059.59788034181</v>
      </c>
      <c r="AG402">
        <f t="shared" si="91"/>
        <v>280000</v>
      </c>
      <c r="AO402">
        <f t="shared" si="92"/>
        <v>394</v>
      </c>
      <c r="AP402">
        <f t="shared" si="93"/>
        <v>0</v>
      </c>
      <c r="AQ402">
        <f t="shared" si="94"/>
        <v>0</v>
      </c>
      <c r="AR402">
        <f t="shared" si="95"/>
        <v>0</v>
      </c>
      <c r="AS402">
        <f t="shared" si="85"/>
        <v>0</v>
      </c>
      <c r="AT402">
        <f t="shared" si="96"/>
        <v>250155.11224442557</v>
      </c>
      <c r="AU402">
        <f t="shared" si="97"/>
        <v>279999.99999999988</v>
      </c>
    </row>
    <row r="403" spans="27:47" ht="14.4">
      <c r="AA403">
        <f t="shared" si="86"/>
        <v>395</v>
      </c>
      <c r="AB403">
        <f t="shared" si="87"/>
        <v>0</v>
      </c>
      <c r="AC403">
        <f t="shared" si="88"/>
        <v>0</v>
      </c>
      <c r="AD403">
        <f t="shared" si="89"/>
        <v>0</v>
      </c>
      <c r="AE403">
        <f t="shared" si="84"/>
        <v>0</v>
      </c>
      <c r="AF403">
        <f t="shared" si="90"/>
        <v>531059.59788034181</v>
      </c>
      <c r="AG403">
        <f t="shared" si="91"/>
        <v>280000</v>
      </c>
      <c r="AO403">
        <f t="shared" si="92"/>
        <v>395</v>
      </c>
      <c r="AP403">
        <f t="shared" si="93"/>
        <v>0</v>
      </c>
      <c r="AQ403">
        <f t="shared" si="94"/>
        <v>0</v>
      </c>
      <c r="AR403">
        <f t="shared" si="95"/>
        <v>0</v>
      </c>
      <c r="AS403">
        <f t="shared" si="85"/>
        <v>0</v>
      </c>
      <c r="AT403">
        <f t="shared" si="96"/>
        <v>250155.11224442557</v>
      </c>
      <c r="AU403">
        <f t="shared" si="97"/>
        <v>279999.99999999988</v>
      </c>
    </row>
    <row r="404" spans="27:47" ht="14.4">
      <c r="AA404">
        <f t="shared" si="86"/>
        <v>396</v>
      </c>
      <c r="AB404">
        <f t="shared" si="87"/>
        <v>0</v>
      </c>
      <c r="AC404">
        <f t="shared" si="88"/>
        <v>0</v>
      </c>
      <c r="AD404">
        <f t="shared" si="89"/>
        <v>0</v>
      </c>
      <c r="AE404">
        <f t="shared" si="84"/>
        <v>0</v>
      </c>
      <c r="AF404">
        <f t="shared" si="90"/>
        <v>531059.59788034181</v>
      </c>
      <c r="AG404">
        <f t="shared" si="91"/>
        <v>280000</v>
      </c>
      <c r="AO404">
        <f t="shared" si="92"/>
        <v>396</v>
      </c>
      <c r="AP404">
        <f t="shared" si="93"/>
        <v>0</v>
      </c>
      <c r="AQ404">
        <f t="shared" si="94"/>
        <v>0</v>
      </c>
      <c r="AR404">
        <f t="shared" si="95"/>
        <v>0</v>
      </c>
      <c r="AS404">
        <f t="shared" si="85"/>
        <v>0</v>
      </c>
      <c r="AT404">
        <f t="shared" si="96"/>
        <v>250155.11224442557</v>
      </c>
      <c r="AU404">
        <f t="shared" si="97"/>
        <v>279999.99999999988</v>
      </c>
    </row>
    <row r="405" spans="27:47" ht="14.4">
      <c r="AA405">
        <f t="shared" si="86"/>
        <v>397</v>
      </c>
      <c r="AB405">
        <f t="shared" si="87"/>
        <v>0</v>
      </c>
      <c r="AC405">
        <f t="shared" si="88"/>
        <v>0</v>
      </c>
      <c r="AD405">
        <f t="shared" si="89"/>
        <v>0</v>
      </c>
      <c r="AE405">
        <f t="shared" si="84"/>
        <v>0</v>
      </c>
      <c r="AF405">
        <f t="shared" si="90"/>
        <v>531059.59788034181</v>
      </c>
      <c r="AG405">
        <f t="shared" si="91"/>
        <v>280000</v>
      </c>
      <c r="AO405">
        <f t="shared" si="92"/>
        <v>397</v>
      </c>
      <c r="AP405">
        <f t="shared" si="93"/>
        <v>0</v>
      </c>
      <c r="AQ405">
        <f t="shared" si="94"/>
        <v>0</v>
      </c>
      <c r="AR405">
        <f t="shared" si="95"/>
        <v>0</v>
      </c>
      <c r="AS405">
        <f t="shared" si="85"/>
        <v>0</v>
      </c>
      <c r="AT405">
        <f t="shared" si="96"/>
        <v>250155.11224442557</v>
      </c>
      <c r="AU405">
        <f t="shared" si="97"/>
        <v>279999.99999999988</v>
      </c>
    </row>
    <row r="406" spans="27:47" ht="14.4">
      <c r="AA406">
        <f t="shared" si="86"/>
        <v>398</v>
      </c>
      <c r="AB406">
        <f t="shared" si="87"/>
        <v>0</v>
      </c>
      <c r="AC406">
        <f t="shared" si="88"/>
        <v>0</v>
      </c>
      <c r="AD406">
        <f t="shared" si="89"/>
        <v>0</v>
      </c>
      <c r="AE406">
        <f t="shared" si="84"/>
        <v>0</v>
      </c>
      <c r="AF406">
        <f t="shared" si="90"/>
        <v>531059.59788034181</v>
      </c>
      <c r="AG406">
        <f t="shared" si="91"/>
        <v>280000</v>
      </c>
      <c r="AO406">
        <f t="shared" si="92"/>
        <v>398</v>
      </c>
      <c r="AP406">
        <f t="shared" si="93"/>
        <v>0</v>
      </c>
      <c r="AQ406">
        <f t="shared" si="94"/>
        <v>0</v>
      </c>
      <c r="AR406">
        <f t="shared" si="95"/>
        <v>0</v>
      </c>
      <c r="AS406">
        <f t="shared" si="85"/>
        <v>0</v>
      </c>
      <c r="AT406">
        <f t="shared" si="96"/>
        <v>250155.11224442557</v>
      </c>
      <c r="AU406">
        <f t="shared" si="97"/>
        <v>279999.99999999988</v>
      </c>
    </row>
    <row r="407" spans="27:47" ht="14.4">
      <c r="AA407">
        <f t="shared" si="86"/>
        <v>399</v>
      </c>
      <c r="AB407">
        <f t="shared" si="87"/>
        <v>0</v>
      </c>
      <c r="AC407">
        <f t="shared" si="88"/>
        <v>0</v>
      </c>
      <c r="AD407">
        <f t="shared" si="89"/>
        <v>0</v>
      </c>
      <c r="AE407">
        <f t="shared" si="84"/>
        <v>0</v>
      </c>
      <c r="AF407">
        <f t="shared" si="90"/>
        <v>531059.59788034181</v>
      </c>
      <c r="AG407">
        <f t="shared" si="91"/>
        <v>280000</v>
      </c>
      <c r="AO407">
        <f t="shared" si="92"/>
        <v>399</v>
      </c>
      <c r="AP407">
        <f t="shared" si="93"/>
        <v>0</v>
      </c>
      <c r="AQ407">
        <f t="shared" si="94"/>
        <v>0</v>
      </c>
      <c r="AR407">
        <f t="shared" si="95"/>
        <v>0</v>
      </c>
      <c r="AS407">
        <f t="shared" si="85"/>
        <v>0</v>
      </c>
      <c r="AT407">
        <f t="shared" si="96"/>
        <v>250155.11224442557</v>
      </c>
      <c r="AU407">
        <f t="shared" si="97"/>
        <v>279999.99999999988</v>
      </c>
    </row>
    <row r="408" spans="27:47" ht="14.4">
      <c r="AA408">
        <f t="shared" si="86"/>
        <v>400</v>
      </c>
      <c r="AB408">
        <f t="shared" si="87"/>
        <v>0</v>
      </c>
      <c r="AC408">
        <f t="shared" si="88"/>
        <v>0</v>
      </c>
      <c r="AD408">
        <f t="shared" si="89"/>
        <v>0</v>
      </c>
      <c r="AE408">
        <f t="shared" si="84"/>
        <v>0</v>
      </c>
      <c r="AF408">
        <f t="shared" si="90"/>
        <v>531059.59788034181</v>
      </c>
      <c r="AG408">
        <f t="shared" si="91"/>
        <v>280000</v>
      </c>
      <c r="AO408">
        <f t="shared" si="92"/>
        <v>400</v>
      </c>
      <c r="AP408">
        <f t="shared" si="93"/>
        <v>0</v>
      </c>
      <c r="AQ408">
        <f t="shared" si="94"/>
        <v>0</v>
      </c>
      <c r="AR408">
        <f t="shared" si="95"/>
        <v>0</v>
      </c>
      <c r="AS408">
        <f t="shared" si="85"/>
        <v>0</v>
      </c>
      <c r="AT408">
        <f t="shared" si="96"/>
        <v>250155.11224442557</v>
      </c>
      <c r="AU408">
        <f t="shared" si="97"/>
        <v>279999.99999999988</v>
      </c>
    </row>
    <row r="409" spans="27:47" ht="14.4">
      <c r="AA409">
        <f t="shared" si="86"/>
        <v>401</v>
      </c>
      <c r="AB409">
        <f t="shared" si="87"/>
        <v>0</v>
      </c>
      <c r="AC409">
        <f t="shared" si="88"/>
        <v>0</v>
      </c>
      <c r="AD409">
        <f t="shared" si="89"/>
        <v>0</v>
      </c>
      <c r="AE409">
        <f t="shared" si="84"/>
        <v>0</v>
      </c>
      <c r="AF409">
        <f t="shared" si="90"/>
        <v>531059.59788034181</v>
      </c>
      <c r="AG409">
        <f t="shared" si="91"/>
        <v>280000</v>
      </c>
      <c r="AO409">
        <f t="shared" si="92"/>
        <v>401</v>
      </c>
      <c r="AP409">
        <f t="shared" si="93"/>
        <v>0</v>
      </c>
      <c r="AQ409">
        <f t="shared" si="94"/>
        <v>0</v>
      </c>
      <c r="AR409">
        <f t="shared" si="95"/>
        <v>0</v>
      </c>
      <c r="AS409">
        <f t="shared" si="85"/>
        <v>0</v>
      </c>
      <c r="AT409">
        <f t="shared" si="96"/>
        <v>250155.11224442557</v>
      </c>
      <c r="AU409">
        <f t="shared" si="97"/>
        <v>279999.99999999988</v>
      </c>
    </row>
    <row r="410" spans="27:47" ht="14.4">
      <c r="AA410">
        <f t="shared" si="86"/>
        <v>402</v>
      </c>
      <c r="AB410">
        <f t="shared" si="87"/>
        <v>0</v>
      </c>
      <c r="AC410">
        <f t="shared" si="88"/>
        <v>0</v>
      </c>
      <c r="AD410">
        <f t="shared" si="89"/>
        <v>0</v>
      </c>
      <c r="AE410">
        <f t="shared" si="84"/>
        <v>0</v>
      </c>
      <c r="AF410">
        <f t="shared" si="90"/>
        <v>531059.59788034181</v>
      </c>
      <c r="AG410">
        <f t="shared" si="91"/>
        <v>280000</v>
      </c>
      <c r="AO410">
        <f t="shared" si="92"/>
        <v>402</v>
      </c>
      <c r="AP410">
        <f t="shared" si="93"/>
        <v>0</v>
      </c>
      <c r="AQ410">
        <f t="shared" si="94"/>
        <v>0</v>
      </c>
      <c r="AR410">
        <f t="shared" si="95"/>
        <v>0</v>
      </c>
      <c r="AS410">
        <f t="shared" si="85"/>
        <v>0</v>
      </c>
      <c r="AT410">
        <f t="shared" si="96"/>
        <v>250155.11224442557</v>
      </c>
      <c r="AU410">
        <f t="shared" si="97"/>
        <v>279999.99999999988</v>
      </c>
    </row>
    <row r="411" spans="27:47" ht="14.4">
      <c r="AA411">
        <f t="shared" si="86"/>
        <v>403</v>
      </c>
      <c r="AB411">
        <f t="shared" si="87"/>
        <v>0</v>
      </c>
      <c r="AC411">
        <f t="shared" si="88"/>
        <v>0</v>
      </c>
      <c r="AD411">
        <f t="shared" si="89"/>
        <v>0</v>
      </c>
      <c r="AE411">
        <f t="shared" si="84"/>
        <v>0</v>
      </c>
      <c r="AF411">
        <f t="shared" si="90"/>
        <v>531059.59788034181</v>
      </c>
      <c r="AG411">
        <f t="shared" si="91"/>
        <v>280000</v>
      </c>
      <c r="AO411">
        <f t="shared" si="92"/>
        <v>403</v>
      </c>
      <c r="AP411">
        <f t="shared" si="93"/>
        <v>0</v>
      </c>
      <c r="AQ411">
        <f t="shared" si="94"/>
        <v>0</v>
      </c>
      <c r="AR411">
        <f t="shared" si="95"/>
        <v>0</v>
      </c>
      <c r="AS411">
        <f t="shared" si="85"/>
        <v>0</v>
      </c>
      <c r="AT411">
        <f t="shared" si="96"/>
        <v>250155.11224442557</v>
      </c>
      <c r="AU411">
        <f t="shared" si="97"/>
        <v>279999.99999999988</v>
      </c>
    </row>
    <row r="412" spans="27:47" ht="14.4">
      <c r="AA412">
        <f t="shared" si="86"/>
        <v>404</v>
      </c>
      <c r="AB412">
        <f t="shared" si="87"/>
        <v>0</v>
      </c>
      <c r="AC412">
        <f t="shared" si="88"/>
        <v>0</v>
      </c>
      <c r="AD412">
        <f t="shared" si="89"/>
        <v>0</v>
      </c>
      <c r="AE412">
        <f t="shared" si="84"/>
        <v>0</v>
      </c>
      <c r="AF412">
        <f t="shared" si="90"/>
        <v>531059.59788034181</v>
      </c>
      <c r="AG412">
        <f t="shared" si="91"/>
        <v>280000</v>
      </c>
      <c r="AO412">
        <f t="shared" si="92"/>
        <v>404</v>
      </c>
      <c r="AP412">
        <f t="shared" si="93"/>
        <v>0</v>
      </c>
      <c r="AQ412">
        <f t="shared" si="94"/>
        <v>0</v>
      </c>
      <c r="AR412">
        <f t="shared" si="95"/>
        <v>0</v>
      </c>
      <c r="AS412">
        <f t="shared" si="85"/>
        <v>0</v>
      </c>
      <c r="AT412">
        <f t="shared" si="96"/>
        <v>250155.11224442557</v>
      </c>
      <c r="AU412">
        <f t="shared" si="97"/>
        <v>279999.99999999988</v>
      </c>
    </row>
    <row r="413" spans="27:47" ht="14.4">
      <c r="AA413">
        <f t="shared" si="86"/>
        <v>405</v>
      </c>
      <c r="AB413">
        <f t="shared" si="87"/>
        <v>0</v>
      </c>
      <c r="AC413">
        <f t="shared" si="88"/>
        <v>0</v>
      </c>
      <c r="AD413">
        <f t="shared" si="89"/>
        <v>0</v>
      </c>
      <c r="AE413">
        <f t="shared" si="84"/>
        <v>0</v>
      </c>
      <c r="AF413">
        <f t="shared" si="90"/>
        <v>531059.59788034181</v>
      </c>
      <c r="AG413">
        <f t="shared" si="91"/>
        <v>280000</v>
      </c>
      <c r="AO413">
        <f t="shared" si="92"/>
        <v>405</v>
      </c>
      <c r="AP413">
        <f t="shared" si="93"/>
        <v>0</v>
      </c>
      <c r="AQ413">
        <f t="shared" si="94"/>
        <v>0</v>
      </c>
      <c r="AR413">
        <f t="shared" si="95"/>
        <v>0</v>
      </c>
      <c r="AS413">
        <f t="shared" si="85"/>
        <v>0</v>
      </c>
      <c r="AT413">
        <f t="shared" si="96"/>
        <v>250155.11224442557</v>
      </c>
      <c r="AU413">
        <f t="shared" si="97"/>
        <v>279999.99999999988</v>
      </c>
    </row>
    <row r="414" spans="27:47" ht="14.4">
      <c r="AA414">
        <f t="shared" si="86"/>
        <v>406</v>
      </c>
      <c r="AB414">
        <f t="shared" si="87"/>
        <v>0</v>
      </c>
      <c r="AC414">
        <f t="shared" si="88"/>
        <v>0</v>
      </c>
      <c r="AD414">
        <f t="shared" si="89"/>
        <v>0</v>
      </c>
      <c r="AE414">
        <f t="shared" si="84"/>
        <v>0</v>
      </c>
      <c r="AF414">
        <f t="shared" si="90"/>
        <v>531059.59788034181</v>
      </c>
      <c r="AG414">
        <f t="shared" si="91"/>
        <v>280000</v>
      </c>
      <c r="AO414">
        <f t="shared" si="92"/>
        <v>406</v>
      </c>
      <c r="AP414">
        <f t="shared" si="93"/>
        <v>0</v>
      </c>
      <c r="AQ414">
        <f t="shared" si="94"/>
        <v>0</v>
      </c>
      <c r="AR414">
        <f t="shared" si="95"/>
        <v>0</v>
      </c>
      <c r="AS414">
        <f t="shared" si="85"/>
        <v>0</v>
      </c>
      <c r="AT414">
        <f t="shared" si="96"/>
        <v>250155.11224442557</v>
      </c>
      <c r="AU414">
        <f t="shared" si="97"/>
        <v>279999.99999999988</v>
      </c>
    </row>
    <row r="415" spans="27:47" ht="14.4">
      <c r="AA415">
        <f t="shared" si="86"/>
        <v>407</v>
      </c>
      <c r="AB415">
        <f t="shared" si="87"/>
        <v>0</v>
      </c>
      <c r="AC415">
        <f t="shared" si="88"/>
        <v>0</v>
      </c>
      <c r="AD415">
        <f t="shared" si="89"/>
        <v>0</v>
      </c>
      <c r="AE415">
        <f t="shared" si="84"/>
        <v>0</v>
      </c>
      <c r="AF415">
        <f t="shared" si="90"/>
        <v>531059.59788034181</v>
      </c>
      <c r="AG415">
        <f t="shared" si="91"/>
        <v>280000</v>
      </c>
      <c r="AO415">
        <f t="shared" si="92"/>
        <v>407</v>
      </c>
      <c r="AP415">
        <f t="shared" si="93"/>
        <v>0</v>
      </c>
      <c r="AQ415">
        <f t="shared" si="94"/>
        <v>0</v>
      </c>
      <c r="AR415">
        <f t="shared" si="95"/>
        <v>0</v>
      </c>
      <c r="AS415">
        <f t="shared" si="85"/>
        <v>0</v>
      </c>
      <c r="AT415">
        <f t="shared" si="96"/>
        <v>250155.11224442557</v>
      </c>
      <c r="AU415">
        <f t="shared" si="97"/>
        <v>279999.99999999988</v>
      </c>
    </row>
    <row r="416" spans="27:47" ht="14.4">
      <c r="AA416">
        <f t="shared" si="86"/>
        <v>408</v>
      </c>
      <c r="AB416">
        <f t="shared" si="87"/>
        <v>0</v>
      </c>
      <c r="AC416">
        <f t="shared" si="88"/>
        <v>0</v>
      </c>
      <c r="AD416">
        <f t="shared" si="89"/>
        <v>0</v>
      </c>
      <c r="AE416">
        <f t="shared" si="84"/>
        <v>0</v>
      </c>
      <c r="AF416">
        <f t="shared" si="90"/>
        <v>531059.59788034181</v>
      </c>
      <c r="AG416">
        <f t="shared" si="91"/>
        <v>280000</v>
      </c>
      <c r="AO416">
        <f t="shared" si="92"/>
        <v>408</v>
      </c>
      <c r="AP416">
        <f t="shared" si="93"/>
        <v>0</v>
      </c>
      <c r="AQ416">
        <f t="shared" si="94"/>
        <v>0</v>
      </c>
      <c r="AR416">
        <f t="shared" si="95"/>
        <v>0</v>
      </c>
      <c r="AS416">
        <f t="shared" si="85"/>
        <v>0</v>
      </c>
      <c r="AT416">
        <f t="shared" si="96"/>
        <v>250155.11224442557</v>
      </c>
      <c r="AU416">
        <f t="shared" si="97"/>
        <v>279999.99999999988</v>
      </c>
    </row>
    <row r="417" spans="27:47" ht="14.4">
      <c r="AA417">
        <f t="shared" si="86"/>
        <v>409</v>
      </c>
      <c r="AB417">
        <f t="shared" si="87"/>
        <v>0</v>
      </c>
      <c r="AC417">
        <f t="shared" si="88"/>
        <v>0</v>
      </c>
      <c r="AD417">
        <f t="shared" si="89"/>
        <v>0</v>
      </c>
      <c r="AE417">
        <f t="shared" si="84"/>
        <v>0</v>
      </c>
      <c r="AF417">
        <f t="shared" si="90"/>
        <v>531059.59788034181</v>
      </c>
      <c r="AG417">
        <f t="shared" si="91"/>
        <v>280000</v>
      </c>
      <c r="AO417">
        <f t="shared" si="92"/>
        <v>409</v>
      </c>
      <c r="AP417">
        <f t="shared" si="93"/>
        <v>0</v>
      </c>
      <c r="AQ417">
        <f t="shared" si="94"/>
        <v>0</v>
      </c>
      <c r="AR417">
        <f t="shared" si="95"/>
        <v>0</v>
      </c>
      <c r="AS417">
        <f t="shared" si="85"/>
        <v>0</v>
      </c>
      <c r="AT417">
        <f t="shared" si="96"/>
        <v>250155.11224442557</v>
      </c>
      <c r="AU417">
        <f t="shared" si="97"/>
        <v>279999.99999999988</v>
      </c>
    </row>
    <row r="418" spans="27:47" ht="14.4">
      <c r="AA418">
        <f t="shared" si="86"/>
        <v>410</v>
      </c>
      <c r="AB418">
        <f t="shared" si="87"/>
        <v>0</v>
      </c>
      <c r="AC418">
        <f t="shared" si="88"/>
        <v>0</v>
      </c>
      <c r="AD418">
        <f t="shared" si="89"/>
        <v>0</v>
      </c>
      <c r="AE418">
        <f t="shared" si="84"/>
        <v>0</v>
      </c>
      <c r="AF418">
        <f t="shared" si="90"/>
        <v>531059.59788034181</v>
      </c>
      <c r="AG418">
        <f t="shared" si="91"/>
        <v>280000</v>
      </c>
      <c r="AO418">
        <f t="shared" si="92"/>
        <v>410</v>
      </c>
      <c r="AP418">
        <f t="shared" si="93"/>
        <v>0</v>
      </c>
      <c r="AQ418">
        <f t="shared" si="94"/>
        <v>0</v>
      </c>
      <c r="AR418">
        <f t="shared" si="95"/>
        <v>0</v>
      </c>
      <c r="AS418">
        <f t="shared" si="85"/>
        <v>0</v>
      </c>
      <c r="AT418">
        <f t="shared" si="96"/>
        <v>250155.11224442557</v>
      </c>
      <c r="AU418">
        <f t="shared" si="97"/>
        <v>279999.99999999988</v>
      </c>
    </row>
    <row r="419" spans="27:47" ht="14.4">
      <c r="AA419">
        <f t="shared" si="86"/>
        <v>411</v>
      </c>
      <c r="AB419">
        <f t="shared" si="87"/>
        <v>0</v>
      </c>
      <c r="AC419">
        <f t="shared" si="88"/>
        <v>0</v>
      </c>
      <c r="AD419">
        <f t="shared" si="89"/>
        <v>0</v>
      </c>
      <c r="AE419">
        <f t="shared" si="84"/>
        <v>0</v>
      </c>
      <c r="AF419">
        <f t="shared" si="90"/>
        <v>531059.59788034181</v>
      </c>
      <c r="AG419">
        <f t="shared" si="91"/>
        <v>280000</v>
      </c>
      <c r="AO419">
        <f t="shared" si="92"/>
        <v>411</v>
      </c>
      <c r="AP419">
        <f t="shared" si="93"/>
        <v>0</v>
      </c>
      <c r="AQ419">
        <f t="shared" si="94"/>
        <v>0</v>
      </c>
      <c r="AR419">
        <f t="shared" si="95"/>
        <v>0</v>
      </c>
      <c r="AS419">
        <f t="shared" si="85"/>
        <v>0</v>
      </c>
      <c r="AT419">
        <f t="shared" si="96"/>
        <v>250155.11224442557</v>
      </c>
      <c r="AU419">
        <f t="shared" si="97"/>
        <v>279999.99999999988</v>
      </c>
    </row>
    <row r="420" spans="27:47" ht="14.4">
      <c r="AA420">
        <f t="shared" si="86"/>
        <v>412</v>
      </c>
      <c r="AB420">
        <f t="shared" si="87"/>
        <v>0</v>
      </c>
      <c r="AC420">
        <f t="shared" si="88"/>
        <v>0</v>
      </c>
      <c r="AD420">
        <f t="shared" si="89"/>
        <v>0</v>
      </c>
      <c r="AE420">
        <f t="shared" si="84"/>
        <v>0</v>
      </c>
      <c r="AF420">
        <f t="shared" si="90"/>
        <v>531059.59788034181</v>
      </c>
      <c r="AG420">
        <f t="shared" si="91"/>
        <v>280000</v>
      </c>
      <c r="AO420">
        <f t="shared" si="92"/>
        <v>412</v>
      </c>
      <c r="AP420">
        <f t="shared" si="93"/>
        <v>0</v>
      </c>
      <c r="AQ420">
        <f t="shared" si="94"/>
        <v>0</v>
      </c>
      <c r="AR420">
        <f t="shared" si="95"/>
        <v>0</v>
      </c>
      <c r="AS420">
        <f t="shared" si="85"/>
        <v>0</v>
      </c>
      <c r="AT420">
        <f t="shared" si="96"/>
        <v>250155.11224442557</v>
      </c>
      <c r="AU420">
        <f t="shared" si="97"/>
        <v>279999.99999999988</v>
      </c>
    </row>
    <row r="421" spans="27:47" ht="14.4">
      <c r="AA421">
        <f t="shared" si="86"/>
        <v>413</v>
      </c>
      <c r="AB421">
        <f t="shared" si="87"/>
        <v>0</v>
      </c>
      <c r="AC421">
        <f t="shared" si="88"/>
        <v>0</v>
      </c>
      <c r="AD421">
        <f t="shared" si="89"/>
        <v>0</v>
      </c>
      <c r="AE421">
        <f t="shared" si="84"/>
        <v>0</v>
      </c>
      <c r="AF421">
        <f t="shared" si="90"/>
        <v>531059.59788034181</v>
      </c>
      <c r="AG421">
        <f t="shared" si="91"/>
        <v>280000</v>
      </c>
      <c r="AO421">
        <f t="shared" si="92"/>
        <v>413</v>
      </c>
      <c r="AP421">
        <f t="shared" si="93"/>
        <v>0</v>
      </c>
      <c r="AQ421">
        <f t="shared" si="94"/>
        <v>0</v>
      </c>
      <c r="AR421">
        <f t="shared" si="95"/>
        <v>0</v>
      </c>
      <c r="AS421">
        <f t="shared" si="85"/>
        <v>0</v>
      </c>
      <c r="AT421">
        <f t="shared" si="96"/>
        <v>250155.11224442557</v>
      </c>
      <c r="AU421">
        <f t="shared" si="97"/>
        <v>279999.99999999988</v>
      </c>
    </row>
    <row r="422" spans="27:47" ht="14.4">
      <c r="AA422">
        <f t="shared" si="86"/>
        <v>414</v>
      </c>
      <c r="AB422">
        <f t="shared" si="87"/>
        <v>0</v>
      </c>
      <c r="AC422">
        <f t="shared" si="88"/>
        <v>0</v>
      </c>
      <c r="AD422">
        <f t="shared" si="89"/>
        <v>0</v>
      </c>
      <c r="AE422">
        <f t="shared" si="84"/>
        <v>0</v>
      </c>
      <c r="AF422">
        <f t="shared" si="90"/>
        <v>531059.59788034181</v>
      </c>
      <c r="AG422">
        <f t="shared" si="91"/>
        <v>280000</v>
      </c>
      <c r="AO422">
        <f t="shared" si="92"/>
        <v>414</v>
      </c>
      <c r="AP422">
        <f t="shared" si="93"/>
        <v>0</v>
      </c>
      <c r="AQ422">
        <f t="shared" si="94"/>
        <v>0</v>
      </c>
      <c r="AR422">
        <f t="shared" si="95"/>
        <v>0</v>
      </c>
      <c r="AS422">
        <f t="shared" si="85"/>
        <v>0</v>
      </c>
      <c r="AT422">
        <f t="shared" si="96"/>
        <v>250155.11224442557</v>
      </c>
      <c r="AU422">
        <f t="shared" si="97"/>
        <v>279999.99999999988</v>
      </c>
    </row>
    <row r="423" spans="27:47" ht="14.4">
      <c r="AA423">
        <f t="shared" si="86"/>
        <v>415</v>
      </c>
      <c r="AB423">
        <f t="shared" si="87"/>
        <v>0</v>
      </c>
      <c r="AC423">
        <f t="shared" si="88"/>
        <v>0</v>
      </c>
      <c r="AD423">
        <f t="shared" si="89"/>
        <v>0</v>
      </c>
      <c r="AE423">
        <f t="shared" si="84"/>
        <v>0</v>
      </c>
      <c r="AF423">
        <f t="shared" si="90"/>
        <v>531059.59788034181</v>
      </c>
      <c r="AG423">
        <f t="shared" si="91"/>
        <v>280000</v>
      </c>
      <c r="AO423">
        <f t="shared" si="92"/>
        <v>415</v>
      </c>
      <c r="AP423">
        <f t="shared" si="93"/>
        <v>0</v>
      </c>
      <c r="AQ423">
        <f t="shared" si="94"/>
        <v>0</v>
      </c>
      <c r="AR423">
        <f t="shared" si="95"/>
        <v>0</v>
      </c>
      <c r="AS423">
        <f t="shared" si="85"/>
        <v>0</v>
      </c>
      <c r="AT423">
        <f t="shared" si="96"/>
        <v>250155.11224442557</v>
      </c>
      <c r="AU423">
        <f t="shared" si="97"/>
        <v>279999.99999999988</v>
      </c>
    </row>
    <row r="424" spans="27:47" ht="14.4">
      <c r="AA424">
        <f t="shared" si="86"/>
        <v>416</v>
      </c>
      <c r="AB424">
        <f t="shared" si="87"/>
        <v>0</v>
      </c>
      <c r="AC424">
        <f t="shared" si="88"/>
        <v>0</v>
      </c>
      <c r="AD424">
        <f t="shared" si="89"/>
        <v>0</v>
      </c>
      <c r="AE424">
        <f t="shared" si="84"/>
        <v>0</v>
      </c>
      <c r="AF424">
        <f t="shared" si="90"/>
        <v>531059.59788034181</v>
      </c>
      <c r="AG424">
        <f t="shared" si="91"/>
        <v>280000</v>
      </c>
      <c r="AO424">
        <f t="shared" si="92"/>
        <v>416</v>
      </c>
      <c r="AP424">
        <f t="shared" si="93"/>
        <v>0</v>
      </c>
      <c r="AQ424">
        <f t="shared" si="94"/>
        <v>0</v>
      </c>
      <c r="AR424">
        <f t="shared" si="95"/>
        <v>0</v>
      </c>
      <c r="AS424">
        <f t="shared" si="85"/>
        <v>0</v>
      </c>
      <c r="AT424">
        <f t="shared" si="96"/>
        <v>250155.11224442557</v>
      </c>
      <c r="AU424">
        <f t="shared" si="97"/>
        <v>279999.99999999988</v>
      </c>
    </row>
    <row r="425" spans="27:47" ht="14.4">
      <c r="AA425">
        <f t="shared" si="86"/>
        <v>417</v>
      </c>
      <c r="AB425">
        <f t="shared" si="87"/>
        <v>0</v>
      </c>
      <c r="AC425">
        <f t="shared" si="88"/>
        <v>0</v>
      </c>
      <c r="AD425">
        <f t="shared" si="89"/>
        <v>0</v>
      </c>
      <c r="AE425">
        <f t="shared" si="84"/>
        <v>0</v>
      </c>
      <c r="AF425">
        <f t="shared" si="90"/>
        <v>531059.59788034181</v>
      </c>
      <c r="AG425">
        <f t="shared" si="91"/>
        <v>280000</v>
      </c>
      <c r="AO425">
        <f t="shared" si="92"/>
        <v>417</v>
      </c>
      <c r="AP425">
        <f t="shared" si="93"/>
        <v>0</v>
      </c>
      <c r="AQ425">
        <f t="shared" si="94"/>
        <v>0</v>
      </c>
      <c r="AR425">
        <f t="shared" si="95"/>
        <v>0</v>
      </c>
      <c r="AS425">
        <f t="shared" si="85"/>
        <v>0</v>
      </c>
      <c r="AT425">
        <f t="shared" si="96"/>
        <v>250155.11224442557</v>
      </c>
      <c r="AU425">
        <f t="shared" si="97"/>
        <v>279999.99999999988</v>
      </c>
    </row>
    <row r="426" spans="27:47" ht="14.4">
      <c r="AA426">
        <f t="shared" si="86"/>
        <v>418</v>
      </c>
      <c r="AB426">
        <f t="shared" si="87"/>
        <v>0</v>
      </c>
      <c r="AC426">
        <f t="shared" si="88"/>
        <v>0</v>
      </c>
      <c r="AD426">
        <f t="shared" si="89"/>
        <v>0</v>
      </c>
      <c r="AE426">
        <f t="shared" si="84"/>
        <v>0</v>
      </c>
      <c r="AF426">
        <f t="shared" si="90"/>
        <v>531059.59788034181</v>
      </c>
      <c r="AG426">
        <f t="shared" si="91"/>
        <v>280000</v>
      </c>
      <c r="AO426">
        <f t="shared" si="92"/>
        <v>418</v>
      </c>
      <c r="AP426">
        <f t="shared" si="93"/>
        <v>0</v>
      </c>
      <c r="AQ426">
        <f t="shared" si="94"/>
        <v>0</v>
      </c>
      <c r="AR426">
        <f t="shared" si="95"/>
        <v>0</v>
      </c>
      <c r="AS426">
        <f t="shared" si="85"/>
        <v>0</v>
      </c>
      <c r="AT426">
        <f t="shared" si="96"/>
        <v>250155.11224442557</v>
      </c>
      <c r="AU426">
        <f t="shared" si="97"/>
        <v>279999.99999999988</v>
      </c>
    </row>
    <row r="427" spans="27:47" ht="14.4">
      <c r="AA427">
        <f t="shared" si="86"/>
        <v>419</v>
      </c>
      <c r="AB427">
        <f t="shared" si="87"/>
        <v>0</v>
      </c>
      <c r="AC427">
        <f t="shared" si="88"/>
        <v>0</v>
      </c>
      <c r="AD427">
        <f t="shared" si="89"/>
        <v>0</v>
      </c>
      <c r="AE427">
        <f t="shared" si="84"/>
        <v>0</v>
      </c>
      <c r="AF427">
        <f t="shared" si="90"/>
        <v>531059.59788034181</v>
      </c>
      <c r="AG427">
        <f t="shared" si="91"/>
        <v>280000</v>
      </c>
      <c r="AO427">
        <f t="shared" si="92"/>
        <v>419</v>
      </c>
      <c r="AP427">
        <f t="shared" si="93"/>
        <v>0</v>
      </c>
      <c r="AQ427">
        <f t="shared" si="94"/>
        <v>0</v>
      </c>
      <c r="AR427">
        <f t="shared" si="95"/>
        <v>0</v>
      </c>
      <c r="AS427">
        <f t="shared" si="85"/>
        <v>0</v>
      </c>
      <c r="AT427">
        <f t="shared" si="96"/>
        <v>250155.11224442557</v>
      </c>
      <c r="AU427">
        <f t="shared" si="97"/>
        <v>279999.99999999988</v>
      </c>
    </row>
    <row r="428" spans="27:47" ht="14.4">
      <c r="AA428">
        <f t="shared" si="86"/>
        <v>420</v>
      </c>
      <c r="AB428">
        <f t="shared" si="87"/>
        <v>0</v>
      </c>
      <c r="AC428">
        <f t="shared" si="88"/>
        <v>0</v>
      </c>
      <c r="AD428">
        <f t="shared" si="89"/>
        <v>0</v>
      </c>
      <c r="AE428">
        <f t="shared" si="84"/>
        <v>0</v>
      </c>
      <c r="AF428">
        <f t="shared" si="90"/>
        <v>531059.59788034181</v>
      </c>
      <c r="AG428">
        <f t="shared" si="91"/>
        <v>280000</v>
      </c>
      <c r="AO428">
        <f t="shared" si="92"/>
        <v>420</v>
      </c>
      <c r="AP428">
        <f t="shared" si="93"/>
        <v>0</v>
      </c>
      <c r="AQ428">
        <f t="shared" si="94"/>
        <v>0</v>
      </c>
      <c r="AR428">
        <f t="shared" si="95"/>
        <v>0</v>
      </c>
      <c r="AS428">
        <f t="shared" si="85"/>
        <v>0</v>
      </c>
      <c r="AT428">
        <f t="shared" si="96"/>
        <v>250155.11224442557</v>
      </c>
      <c r="AU428">
        <f t="shared" si="97"/>
        <v>279999.99999999988</v>
      </c>
    </row>
    <row r="429" spans="27:47" ht="14.4">
      <c r="AA429">
        <f t="shared" si="86"/>
        <v>421</v>
      </c>
      <c r="AB429">
        <f t="shared" si="87"/>
        <v>0</v>
      </c>
      <c r="AC429">
        <f t="shared" si="88"/>
        <v>0</v>
      </c>
      <c r="AD429">
        <f t="shared" si="89"/>
        <v>0</v>
      </c>
      <c r="AE429">
        <f t="shared" si="84"/>
        <v>0</v>
      </c>
      <c r="AF429">
        <f t="shared" si="90"/>
        <v>531059.59788034181</v>
      </c>
      <c r="AG429">
        <f t="shared" si="91"/>
        <v>280000</v>
      </c>
      <c r="AO429">
        <f t="shared" si="92"/>
        <v>421</v>
      </c>
      <c r="AP429">
        <f t="shared" si="93"/>
        <v>0</v>
      </c>
      <c r="AQ429">
        <f t="shared" si="94"/>
        <v>0</v>
      </c>
      <c r="AR429">
        <f t="shared" si="95"/>
        <v>0</v>
      </c>
      <c r="AS429">
        <f t="shared" si="85"/>
        <v>0</v>
      </c>
      <c r="AT429">
        <f t="shared" si="96"/>
        <v>250155.11224442557</v>
      </c>
      <c r="AU429">
        <f t="shared" si="97"/>
        <v>279999.99999999988</v>
      </c>
    </row>
    <row r="430" spans="27:47" ht="14.4">
      <c r="AA430">
        <f t="shared" si="86"/>
        <v>422</v>
      </c>
      <c r="AB430">
        <f t="shared" si="87"/>
        <v>0</v>
      </c>
      <c r="AC430">
        <f t="shared" si="88"/>
        <v>0</v>
      </c>
      <c r="AD430">
        <f t="shared" si="89"/>
        <v>0</v>
      </c>
      <c r="AE430">
        <f t="shared" si="84"/>
        <v>0</v>
      </c>
      <c r="AF430">
        <f t="shared" si="90"/>
        <v>531059.59788034181</v>
      </c>
      <c r="AG430">
        <f t="shared" si="91"/>
        <v>280000</v>
      </c>
      <c r="AO430">
        <f t="shared" si="92"/>
        <v>422</v>
      </c>
      <c r="AP430">
        <f t="shared" si="93"/>
        <v>0</v>
      </c>
      <c r="AQ430">
        <f t="shared" si="94"/>
        <v>0</v>
      </c>
      <c r="AR430">
        <f t="shared" si="95"/>
        <v>0</v>
      </c>
      <c r="AS430">
        <f t="shared" si="85"/>
        <v>0</v>
      </c>
      <c r="AT430">
        <f t="shared" si="96"/>
        <v>250155.11224442557</v>
      </c>
      <c r="AU430">
        <f t="shared" si="97"/>
        <v>279999.99999999988</v>
      </c>
    </row>
    <row r="431" spans="27:47" ht="14.4">
      <c r="AA431">
        <f t="shared" si="86"/>
        <v>423</v>
      </c>
      <c r="AB431">
        <f t="shared" si="87"/>
        <v>0</v>
      </c>
      <c r="AC431">
        <f t="shared" si="88"/>
        <v>0</v>
      </c>
      <c r="AD431">
        <f t="shared" si="89"/>
        <v>0</v>
      </c>
      <c r="AE431">
        <f t="shared" si="84"/>
        <v>0</v>
      </c>
      <c r="AF431">
        <f t="shared" si="90"/>
        <v>531059.59788034181</v>
      </c>
      <c r="AG431">
        <f t="shared" si="91"/>
        <v>280000</v>
      </c>
      <c r="AO431">
        <f t="shared" si="92"/>
        <v>423</v>
      </c>
      <c r="AP431">
        <f t="shared" si="93"/>
        <v>0</v>
      </c>
      <c r="AQ431">
        <f t="shared" si="94"/>
        <v>0</v>
      </c>
      <c r="AR431">
        <f t="shared" si="95"/>
        <v>0</v>
      </c>
      <c r="AS431">
        <f t="shared" si="85"/>
        <v>0</v>
      </c>
      <c r="AT431">
        <f t="shared" si="96"/>
        <v>250155.11224442557</v>
      </c>
      <c r="AU431">
        <f t="shared" si="97"/>
        <v>279999.99999999988</v>
      </c>
    </row>
    <row r="432" spans="27:47" ht="14.4">
      <c r="AA432">
        <f t="shared" si="86"/>
        <v>424</v>
      </c>
      <c r="AB432">
        <f t="shared" si="87"/>
        <v>0</v>
      </c>
      <c r="AC432">
        <f t="shared" si="88"/>
        <v>0</v>
      </c>
      <c r="AD432">
        <f t="shared" si="89"/>
        <v>0</v>
      </c>
      <c r="AE432">
        <f t="shared" si="84"/>
        <v>0</v>
      </c>
      <c r="AF432">
        <f t="shared" si="90"/>
        <v>531059.59788034181</v>
      </c>
      <c r="AG432">
        <f t="shared" si="91"/>
        <v>280000</v>
      </c>
      <c r="AO432">
        <f t="shared" si="92"/>
        <v>424</v>
      </c>
      <c r="AP432">
        <f t="shared" si="93"/>
        <v>0</v>
      </c>
      <c r="AQ432">
        <f t="shared" si="94"/>
        <v>0</v>
      </c>
      <c r="AR432">
        <f t="shared" si="95"/>
        <v>0</v>
      </c>
      <c r="AS432">
        <f t="shared" si="85"/>
        <v>0</v>
      </c>
      <c r="AT432">
        <f t="shared" si="96"/>
        <v>250155.11224442557</v>
      </c>
      <c r="AU432">
        <f t="shared" si="97"/>
        <v>279999.99999999988</v>
      </c>
    </row>
    <row r="433" spans="27:47" ht="14.4">
      <c r="AA433">
        <f t="shared" si="86"/>
        <v>425</v>
      </c>
      <c r="AB433">
        <f t="shared" si="87"/>
        <v>0</v>
      </c>
      <c r="AC433">
        <f t="shared" si="88"/>
        <v>0</v>
      </c>
      <c r="AD433">
        <f t="shared" si="89"/>
        <v>0</v>
      </c>
      <c r="AE433">
        <f t="shared" si="84"/>
        <v>0</v>
      </c>
      <c r="AF433">
        <f t="shared" si="90"/>
        <v>531059.59788034181</v>
      </c>
      <c r="AG433">
        <f t="shared" si="91"/>
        <v>280000</v>
      </c>
      <c r="AO433">
        <f t="shared" si="92"/>
        <v>425</v>
      </c>
      <c r="AP433">
        <f t="shared" si="93"/>
        <v>0</v>
      </c>
      <c r="AQ433">
        <f t="shared" si="94"/>
        <v>0</v>
      </c>
      <c r="AR433">
        <f t="shared" si="95"/>
        <v>0</v>
      </c>
      <c r="AS433">
        <f t="shared" si="85"/>
        <v>0</v>
      </c>
      <c r="AT433">
        <f t="shared" si="96"/>
        <v>250155.11224442557</v>
      </c>
      <c r="AU433">
        <f t="shared" si="97"/>
        <v>279999.99999999988</v>
      </c>
    </row>
    <row r="434" spans="27:47" ht="14.4">
      <c r="AA434">
        <f t="shared" si="86"/>
        <v>426</v>
      </c>
      <c r="AB434">
        <f t="shared" si="87"/>
        <v>0</v>
      </c>
      <c r="AC434">
        <f t="shared" si="88"/>
        <v>0</v>
      </c>
      <c r="AD434">
        <f t="shared" si="89"/>
        <v>0</v>
      </c>
      <c r="AE434">
        <f t="shared" si="84"/>
        <v>0</v>
      </c>
      <c r="AF434">
        <f t="shared" si="90"/>
        <v>531059.59788034181</v>
      </c>
      <c r="AG434">
        <f t="shared" si="91"/>
        <v>280000</v>
      </c>
      <c r="AO434">
        <f t="shared" si="92"/>
        <v>426</v>
      </c>
      <c r="AP434">
        <f t="shared" si="93"/>
        <v>0</v>
      </c>
      <c r="AQ434">
        <f t="shared" si="94"/>
        <v>0</v>
      </c>
      <c r="AR434">
        <f t="shared" si="95"/>
        <v>0</v>
      </c>
      <c r="AS434">
        <f t="shared" si="85"/>
        <v>0</v>
      </c>
      <c r="AT434">
        <f t="shared" si="96"/>
        <v>250155.11224442557</v>
      </c>
      <c r="AU434">
        <f t="shared" si="97"/>
        <v>279999.99999999988</v>
      </c>
    </row>
    <row r="435" spans="27:47" ht="14.4">
      <c r="AA435">
        <f t="shared" si="86"/>
        <v>427</v>
      </c>
      <c r="AB435">
        <f t="shared" si="87"/>
        <v>0</v>
      </c>
      <c r="AC435">
        <f t="shared" si="88"/>
        <v>0</v>
      </c>
      <c r="AD435">
        <f t="shared" si="89"/>
        <v>0</v>
      </c>
      <c r="AE435">
        <f t="shared" si="84"/>
        <v>0</v>
      </c>
      <c r="AF435">
        <f t="shared" si="90"/>
        <v>531059.59788034181</v>
      </c>
      <c r="AG435">
        <f t="shared" si="91"/>
        <v>280000</v>
      </c>
      <c r="AO435">
        <f t="shared" si="92"/>
        <v>427</v>
      </c>
      <c r="AP435">
        <f t="shared" si="93"/>
        <v>0</v>
      </c>
      <c r="AQ435">
        <f t="shared" si="94"/>
        <v>0</v>
      </c>
      <c r="AR435">
        <f t="shared" si="95"/>
        <v>0</v>
      </c>
      <c r="AS435">
        <f t="shared" si="85"/>
        <v>0</v>
      </c>
      <c r="AT435">
        <f t="shared" si="96"/>
        <v>250155.11224442557</v>
      </c>
      <c r="AU435">
        <f t="shared" si="97"/>
        <v>279999.99999999988</v>
      </c>
    </row>
    <row r="436" spans="27:47" ht="14.4">
      <c r="AA436">
        <f t="shared" si="86"/>
        <v>428</v>
      </c>
      <c r="AB436">
        <f t="shared" si="87"/>
        <v>0</v>
      </c>
      <c r="AC436">
        <f t="shared" si="88"/>
        <v>0</v>
      </c>
      <c r="AD436">
        <f t="shared" si="89"/>
        <v>0</v>
      </c>
      <c r="AE436">
        <f t="shared" si="84"/>
        <v>0</v>
      </c>
      <c r="AF436">
        <f t="shared" si="90"/>
        <v>531059.59788034181</v>
      </c>
      <c r="AG436">
        <f t="shared" si="91"/>
        <v>280000</v>
      </c>
      <c r="AO436">
        <f t="shared" si="92"/>
        <v>428</v>
      </c>
      <c r="AP436">
        <f t="shared" si="93"/>
        <v>0</v>
      </c>
      <c r="AQ436">
        <f t="shared" si="94"/>
        <v>0</v>
      </c>
      <c r="AR436">
        <f t="shared" si="95"/>
        <v>0</v>
      </c>
      <c r="AS436">
        <f t="shared" si="85"/>
        <v>0</v>
      </c>
      <c r="AT436">
        <f t="shared" si="96"/>
        <v>250155.11224442557</v>
      </c>
      <c r="AU436">
        <f t="shared" si="97"/>
        <v>279999.99999999988</v>
      </c>
    </row>
    <row r="437" spans="27:47" ht="14.4">
      <c r="AA437">
        <f t="shared" si="86"/>
        <v>429</v>
      </c>
      <c r="AB437">
        <f t="shared" si="87"/>
        <v>0</v>
      </c>
      <c r="AC437">
        <f t="shared" si="88"/>
        <v>0</v>
      </c>
      <c r="AD437">
        <f t="shared" si="89"/>
        <v>0</v>
      </c>
      <c r="AE437">
        <f t="shared" si="84"/>
        <v>0</v>
      </c>
      <c r="AF437">
        <f t="shared" si="90"/>
        <v>531059.59788034181</v>
      </c>
      <c r="AG437">
        <f t="shared" si="91"/>
        <v>280000</v>
      </c>
      <c r="AO437">
        <f t="shared" si="92"/>
        <v>429</v>
      </c>
      <c r="AP437">
        <f t="shared" si="93"/>
        <v>0</v>
      </c>
      <c r="AQ437">
        <f t="shared" si="94"/>
        <v>0</v>
      </c>
      <c r="AR437">
        <f t="shared" si="95"/>
        <v>0</v>
      </c>
      <c r="AS437">
        <f t="shared" si="85"/>
        <v>0</v>
      </c>
      <c r="AT437">
        <f t="shared" si="96"/>
        <v>250155.11224442557</v>
      </c>
      <c r="AU437">
        <f t="shared" si="97"/>
        <v>279999.99999999988</v>
      </c>
    </row>
    <row r="438" spans="27:47" ht="14.4">
      <c r="AA438">
        <f t="shared" si="86"/>
        <v>430</v>
      </c>
      <c r="AB438">
        <f t="shared" si="87"/>
        <v>0</v>
      </c>
      <c r="AC438">
        <f t="shared" si="88"/>
        <v>0</v>
      </c>
      <c r="AD438">
        <f t="shared" si="89"/>
        <v>0</v>
      </c>
      <c r="AE438">
        <f t="shared" si="84"/>
        <v>0</v>
      </c>
      <c r="AF438">
        <f t="shared" si="90"/>
        <v>531059.59788034181</v>
      </c>
      <c r="AG438">
        <f t="shared" si="91"/>
        <v>280000</v>
      </c>
      <c r="AO438">
        <f t="shared" si="92"/>
        <v>430</v>
      </c>
      <c r="AP438">
        <f t="shared" si="93"/>
        <v>0</v>
      </c>
      <c r="AQ438">
        <f t="shared" si="94"/>
        <v>0</v>
      </c>
      <c r="AR438">
        <f t="shared" si="95"/>
        <v>0</v>
      </c>
      <c r="AS438">
        <f t="shared" si="85"/>
        <v>0</v>
      </c>
      <c r="AT438">
        <f t="shared" si="96"/>
        <v>250155.11224442557</v>
      </c>
      <c r="AU438">
        <f t="shared" si="97"/>
        <v>279999.99999999988</v>
      </c>
    </row>
    <row r="439" spans="27:47" ht="14.4">
      <c r="AA439">
        <f t="shared" si="86"/>
        <v>431</v>
      </c>
      <c r="AB439">
        <f t="shared" si="87"/>
        <v>0</v>
      </c>
      <c r="AC439">
        <f t="shared" si="88"/>
        <v>0</v>
      </c>
      <c r="AD439">
        <f t="shared" si="89"/>
        <v>0</v>
      </c>
      <c r="AE439">
        <f t="shared" si="84"/>
        <v>0</v>
      </c>
      <c r="AF439">
        <f t="shared" si="90"/>
        <v>531059.59788034181</v>
      </c>
      <c r="AG439">
        <f t="shared" si="91"/>
        <v>280000</v>
      </c>
      <c r="AO439">
        <f t="shared" si="92"/>
        <v>431</v>
      </c>
      <c r="AP439">
        <f t="shared" si="93"/>
        <v>0</v>
      </c>
      <c r="AQ439">
        <f t="shared" si="94"/>
        <v>0</v>
      </c>
      <c r="AR439">
        <f t="shared" si="95"/>
        <v>0</v>
      </c>
      <c r="AS439">
        <f t="shared" si="85"/>
        <v>0</v>
      </c>
      <c r="AT439">
        <f t="shared" si="96"/>
        <v>250155.11224442557</v>
      </c>
      <c r="AU439">
        <f t="shared" si="97"/>
        <v>279999.99999999988</v>
      </c>
    </row>
    <row r="440" spans="27:47" ht="14.4">
      <c r="AA440">
        <f t="shared" si="86"/>
        <v>432</v>
      </c>
      <c r="AB440">
        <f t="shared" si="87"/>
        <v>0</v>
      </c>
      <c r="AC440">
        <f t="shared" si="88"/>
        <v>0</v>
      </c>
      <c r="AD440">
        <f t="shared" si="89"/>
        <v>0</v>
      </c>
      <c r="AE440">
        <f t="shared" si="84"/>
        <v>0</v>
      </c>
      <c r="AF440">
        <f t="shared" si="90"/>
        <v>531059.59788034181</v>
      </c>
      <c r="AG440">
        <f t="shared" si="91"/>
        <v>280000</v>
      </c>
      <c r="AO440">
        <f t="shared" si="92"/>
        <v>432</v>
      </c>
      <c r="AP440">
        <f t="shared" si="93"/>
        <v>0</v>
      </c>
      <c r="AQ440">
        <f t="shared" si="94"/>
        <v>0</v>
      </c>
      <c r="AR440">
        <f t="shared" si="95"/>
        <v>0</v>
      </c>
      <c r="AS440">
        <f t="shared" si="85"/>
        <v>0</v>
      </c>
      <c r="AT440">
        <f t="shared" si="96"/>
        <v>250155.11224442557</v>
      </c>
      <c r="AU440">
        <f t="shared" si="97"/>
        <v>279999.99999999988</v>
      </c>
    </row>
    <row r="441" spans="27:47" ht="14.4">
      <c r="AA441">
        <f t="shared" si="86"/>
        <v>433</v>
      </c>
      <c r="AB441">
        <f t="shared" si="87"/>
        <v>0</v>
      </c>
      <c r="AC441">
        <f t="shared" si="88"/>
        <v>0</v>
      </c>
      <c r="AD441">
        <f t="shared" si="89"/>
        <v>0</v>
      </c>
      <c r="AE441">
        <f t="shared" si="84"/>
        <v>0</v>
      </c>
      <c r="AF441">
        <f t="shared" si="90"/>
        <v>531059.59788034181</v>
      </c>
      <c r="AG441">
        <f t="shared" si="91"/>
        <v>280000</v>
      </c>
      <c r="AO441">
        <f t="shared" si="92"/>
        <v>433</v>
      </c>
      <c r="AP441">
        <f t="shared" si="93"/>
        <v>0</v>
      </c>
      <c r="AQ441">
        <f t="shared" si="94"/>
        <v>0</v>
      </c>
      <c r="AR441">
        <f t="shared" si="95"/>
        <v>0</v>
      </c>
      <c r="AS441">
        <f t="shared" si="85"/>
        <v>0</v>
      </c>
      <c r="AT441">
        <f t="shared" si="96"/>
        <v>250155.11224442557</v>
      </c>
      <c r="AU441">
        <f t="shared" si="97"/>
        <v>279999.99999999988</v>
      </c>
    </row>
    <row r="442" spans="27:47" ht="14.4">
      <c r="AA442">
        <f t="shared" si="86"/>
        <v>434</v>
      </c>
      <c r="AB442">
        <f t="shared" si="87"/>
        <v>0</v>
      </c>
      <c r="AC442">
        <f t="shared" si="88"/>
        <v>0</v>
      </c>
      <c r="AD442">
        <f t="shared" si="89"/>
        <v>0</v>
      </c>
      <c r="AE442">
        <f t="shared" si="84"/>
        <v>0</v>
      </c>
      <c r="AF442">
        <f t="shared" si="90"/>
        <v>531059.59788034181</v>
      </c>
      <c r="AG442">
        <f t="shared" si="91"/>
        <v>280000</v>
      </c>
      <c r="AO442">
        <f t="shared" si="92"/>
        <v>434</v>
      </c>
      <c r="AP442">
        <f t="shared" si="93"/>
        <v>0</v>
      </c>
      <c r="AQ442">
        <f t="shared" si="94"/>
        <v>0</v>
      </c>
      <c r="AR442">
        <f t="shared" si="95"/>
        <v>0</v>
      </c>
      <c r="AS442">
        <f t="shared" si="85"/>
        <v>0</v>
      </c>
      <c r="AT442">
        <f t="shared" si="96"/>
        <v>250155.11224442557</v>
      </c>
      <c r="AU442">
        <f t="shared" si="97"/>
        <v>279999.99999999988</v>
      </c>
    </row>
    <row r="443" spans="27:47" ht="14.4">
      <c r="AA443">
        <f t="shared" si="86"/>
        <v>435</v>
      </c>
      <c r="AB443">
        <f t="shared" si="87"/>
        <v>0</v>
      </c>
      <c r="AC443">
        <f t="shared" si="88"/>
        <v>0</v>
      </c>
      <c r="AD443">
        <f t="shared" si="89"/>
        <v>0</v>
      </c>
      <c r="AE443">
        <f t="shared" si="84"/>
        <v>0</v>
      </c>
      <c r="AF443">
        <f t="shared" si="90"/>
        <v>531059.59788034181</v>
      </c>
      <c r="AG443">
        <f t="shared" si="91"/>
        <v>280000</v>
      </c>
      <c r="AO443">
        <f t="shared" si="92"/>
        <v>435</v>
      </c>
      <c r="AP443">
        <f t="shared" si="93"/>
        <v>0</v>
      </c>
      <c r="AQ443">
        <f t="shared" si="94"/>
        <v>0</v>
      </c>
      <c r="AR443">
        <f t="shared" si="95"/>
        <v>0</v>
      </c>
      <c r="AS443">
        <f t="shared" si="85"/>
        <v>0</v>
      </c>
      <c r="AT443">
        <f t="shared" si="96"/>
        <v>250155.11224442557</v>
      </c>
      <c r="AU443">
        <f t="shared" si="97"/>
        <v>279999.99999999988</v>
      </c>
    </row>
    <row r="444" spans="27:47" ht="14.4">
      <c r="AA444">
        <f t="shared" si="86"/>
        <v>436</v>
      </c>
      <c r="AB444">
        <f t="shared" si="87"/>
        <v>0</v>
      </c>
      <c r="AC444">
        <f t="shared" si="88"/>
        <v>0</v>
      </c>
      <c r="AD444">
        <f t="shared" si="89"/>
        <v>0</v>
      </c>
      <c r="AE444">
        <f t="shared" si="84"/>
        <v>0</v>
      </c>
      <c r="AF444">
        <f t="shared" si="90"/>
        <v>531059.59788034181</v>
      </c>
      <c r="AG444">
        <f t="shared" si="91"/>
        <v>280000</v>
      </c>
      <c r="AO444">
        <f t="shared" si="92"/>
        <v>436</v>
      </c>
      <c r="AP444">
        <f t="shared" si="93"/>
        <v>0</v>
      </c>
      <c r="AQ444">
        <f t="shared" si="94"/>
        <v>0</v>
      </c>
      <c r="AR444">
        <f t="shared" si="95"/>
        <v>0</v>
      </c>
      <c r="AS444">
        <f t="shared" si="85"/>
        <v>0</v>
      </c>
      <c r="AT444">
        <f t="shared" si="96"/>
        <v>250155.11224442557</v>
      </c>
      <c r="AU444">
        <f t="shared" si="97"/>
        <v>279999.99999999988</v>
      </c>
    </row>
    <row r="445" spans="27:47" ht="14.4">
      <c r="AA445">
        <f t="shared" si="86"/>
        <v>437</v>
      </c>
      <c r="AB445">
        <f t="shared" si="87"/>
        <v>0</v>
      </c>
      <c r="AC445">
        <f t="shared" si="88"/>
        <v>0</v>
      </c>
      <c r="AD445">
        <f t="shared" si="89"/>
        <v>0</v>
      </c>
      <c r="AE445">
        <f t="shared" si="84"/>
        <v>0</v>
      </c>
      <c r="AF445">
        <f t="shared" si="90"/>
        <v>531059.59788034181</v>
      </c>
      <c r="AG445">
        <f t="shared" si="91"/>
        <v>280000</v>
      </c>
      <c r="AO445">
        <f t="shared" si="92"/>
        <v>437</v>
      </c>
      <c r="AP445">
        <f t="shared" si="93"/>
        <v>0</v>
      </c>
      <c r="AQ445">
        <f t="shared" si="94"/>
        <v>0</v>
      </c>
      <c r="AR445">
        <f t="shared" si="95"/>
        <v>0</v>
      </c>
      <c r="AS445">
        <f t="shared" si="85"/>
        <v>0</v>
      </c>
      <c r="AT445">
        <f t="shared" si="96"/>
        <v>250155.11224442557</v>
      </c>
      <c r="AU445">
        <f t="shared" si="97"/>
        <v>279999.99999999988</v>
      </c>
    </row>
    <row r="446" spans="27:47" ht="14.4">
      <c r="AA446">
        <f t="shared" si="86"/>
        <v>438</v>
      </c>
      <c r="AB446">
        <f t="shared" si="87"/>
        <v>0</v>
      </c>
      <c r="AC446">
        <f t="shared" si="88"/>
        <v>0</v>
      </c>
      <c r="AD446">
        <f t="shared" si="89"/>
        <v>0</v>
      </c>
      <c r="AE446">
        <f t="shared" si="84"/>
        <v>0</v>
      </c>
      <c r="AF446">
        <f t="shared" si="90"/>
        <v>531059.59788034181</v>
      </c>
      <c r="AG446">
        <f t="shared" si="91"/>
        <v>280000</v>
      </c>
      <c r="AO446">
        <f t="shared" si="92"/>
        <v>438</v>
      </c>
      <c r="AP446">
        <f t="shared" si="93"/>
        <v>0</v>
      </c>
      <c r="AQ446">
        <f t="shared" si="94"/>
        <v>0</v>
      </c>
      <c r="AR446">
        <f t="shared" si="95"/>
        <v>0</v>
      </c>
      <c r="AS446">
        <f t="shared" si="85"/>
        <v>0</v>
      </c>
      <c r="AT446">
        <f t="shared" si="96"/>
        <v>250155.11224442557</v>
      </c>
      <c r="AU446">
        <f t="shared" si="97"/>
        <v>279999.99999999988</v>
      </c>
    </row>
    <row r="447" spans="27:47" ht="14.4">
      <c r="AA447">
        <f t="shared" si="86"/>
        <v>439</v>
      </c>
      <c r="AB447">
        <f t="shared" si="87"/>
        <v>0</v>
      </c>
      <c r="AC447">
        <f t="shared" si="88"/>
        <v>0</v>
      </c>
      <c r="AD447">
        <f t="shared" si="89"/>
        <v>0</v>
      </c>
      <c r="AE447">
        <f t="shared" si="84"/>
        <v>0</v>
      </c>
      <c r="AF447">
        <f t="shared" si="90"/>
        <v>531059.59788034181</v>
      </c>
      <c r="AG447">
        <f t="shared" si="91"/>
        <v>280000</v>
      </c>
      <c r="AO447">
        <f t="shared" si="92"/>
        <v>439</v>
      </c>
      <c r="AP447">
        <f t="shared" si="93"/>
        <v>0</v>
      </c>
      <c r="AQ447">
        <f t="shared" si="94"/>
        <v>0</v>
      </c>
      <c r="AR447">
        <f t="shared" si="95"/>
        <v>0</v>
      </c>
      <c r="AS447">
        <f t="shared" si="85"/>
        <v>0</v>
      </c>
      <c r="AT447">
        <f t="shared" si="96"/>
        <v>250155.11224442557</v>
      </c>
      <c r="AU447">
        <f t="shared" si="97"/>
        <v>279999.99999999988</v>
      </c>
    </row>
    <row r="448" spans="27:47" ht="14.4">
      <c r="AA448">
        <f t="shared" si="86"/>
        <v>440</v>
      </c>
      <c r="AB448">
        <f t="shared" si="87"/>
        <v>0</v>
      </c>
      <c r="AC448">
        <f t="shared" si="88"/>
        <v>0</v>
      </c>
      <c r="AD448">
        <f t="shared" si="89"/>
        <v>0</v>
      </c>
      <c r="AE448">
        <f t="shared" si="84"/>
        <v>0</v>
      </c>
      <c r="AF448">
        <f t="shared" si="90"/>
        <v>531059.59788034181</v>
      </c>
      <c r="AG448">
        <f t="shared" si="91"/>
        <v>280000</v>
      </c>
      <c r="AO448">
        <f t="shared" si="92"/>
        <v>440</v>
      </c>
      <c r="AP448">
        <f t="shared" si="93"/>
        <v>0</v>
      </c>
      <c r="AQ448">
        <f t="shared" si="94"/>
        <v>0</v>
      </c>
      <c r="AR448">
        <f t="shared" si="95"/>
        <v>0</v>
      </c>
      <c r="AS448">
        <f t="shared" si="85"/>
        <v>0</v>
      </c>
      <c r="AT448">
        <f t="shared" si="96"/>
        <v>250155.11224442557</v>
      </c>
      <c r="AU448">
        <f t="shared" si="97"/>
        <v>279999.99999999988</v>
      </c>
    </row>
    <row r="449" spans="27:47" ht="14.4">
      <c r="AA449">
        <f t="shared" si="86"/>
        <v>441</v>
      </c>
      <c r="AB449">
        <f t="shared" si="87"/>
        <v>0</v>
      </c>
      <c r="AC449">
        <f t="shared" si="88"/>
        <v>0</v>
      </c>
      <c r="AD449">
        <f t="shared" si="89"/>
        <v>0</v>
      </c>
      <c r="AE449">
        <f t="shared" si="84"/>
        <v>0</v>
      </c>
      <c r="AF449">
        <f t="shared" si="90"/>
        <v>531059.59788034181</v>
      </c>
      <c r="AG449">
        <f t="shared" si="91"/>
        <v>280000</v>
      </c>
      <c r="AO449">
        <f t="shared" si="92"/>
        <v>441</v>
      </c>
      <c r="AP449">
        <f t="shared" si="93"/>
        <v>0</v>
      </c>
      <c r="AQ449">
        <f t="shared" si="94"/>
        <v>0</v>
      </c>
      <c r="AR449">
        <f t="shared" si="95"/>
        <v>0</v>
      </c>
      <c r="AS449">
        <f t="shared" si="85"/>
        <v>0</v>
      </c>
      <c r="AT449">
        <f t="shared" si="96"/>
        <v>250155.11224442557</v>
      </c>
      <c r="AU449">
        <f t="shared" si="97"/>
        <v>279999.99999999988</v>
      </c>
    </row>
    <row r="450" spans="27:47" ht="14.4">
      <c r="AA450">
        <f t="shared" si="86"/>
        <v>442</v>
      </c>
      <c r="AB450">
        <f t="shared" si="87"/>
        <v>0</v>
      </c>
      <c r="AC450">
        <f t="shared" si="88"/>
        <v>0</v>
      </c>
      <c r="AD450">
        <f t="shared" si="89"/>
        <v>0</v>
      </c>
      <c r="AE450">
        <f t="shared" si="84"/>
        <v>0</v>
      </c>
      <c r="AF450">
        <f t="shared" si="90"/>
        <v>531059.59788034181</v>
      </c>
      <c r="AG450">
        <f t="shared" si="91"/>
        <v>280000</v>
      </c>
      <c r="AO450">
        <f t="shared" si="92"/>
        <v>442</v>
      </c>
      <c r="AP450">
        <f t="shared" si="93"/>
        <v>0</v>
      </c>
      <c r="AQ450">
        <f t="shared" si="94"/>
        <v>0</v>
      </c>
      <c r="AR450">
        <f t="shared" si="95"/>
        <v>0</v>
      </c>
      <c r="AS450">
        <f t="shared" si="85"/>
        <v>0</v>
      </c>
      <c r="AT450">
        <f t="shared" si="96"/>
        <v>250155.11224442557</v>
      </c>
      <c r="AU450">
        <f t="shared" si="97"/>
        <v>279999.99999999988</v>
      </c>
    </row>
    <row r="451" spans="27:47" ht="14.4">
      <c r="AA451">
        <f t="shared" si="86"/>
        <v>443</v>
      </c>
      <c r="AB451">
        <f t="shared" si="87"/>
        <v>0</v>
      </c>
      <c r="AC451">
        <f t="shared" si="88"/>
        <v>0</v>
      </c>
      <c r="AD451">
        <f t="shared" si="89"/>
        <v>0</v>
      </c>
      <c r="AE451">
        <f t="shared" si="84"/>
        <v>0</v>
      </c>
      <c r="AF451">
        <f t="shared" si="90"/>
        <v>531059.59788034181</v>
      </c>
      <c r="AG451">
        <f t="shared" si="91"/>
        <v>280000</v>
      </c>
      <c r="AO451">
        <f t="shared" si="92"/>
        <v>443</v>
      </c>
      <c r="AP451">
        <f t="shared" si="93"/>
        <v>0</v>
      </c>
      <c r="AQ451">
        <f t="shared" si="94"/>
        <v>0</v>
      </c>
      <c r="AR451">
        <f t="shared" si="95"/>
        <v>0</v>
      </c>
      <c r="AS451">
        <f t="shared" si="85"/>
        <v>0</v>
      </c>
      <c r="AT451">
        <f t="shared" si="96"/>
        <v>250155.11224442557</v>
      </c>
      <c r="AU451">
        <f t="shared" si="97"/>
        <v>279999.99999999988</v>
      </c>
    </row>
    <row r="452" spans="27:47" ht="14.4">
      <c r="AA452">
        <f t="shared" si="86"/>
        <v>444</v>
      </c>
      <c r="AB452">
        <f t="shared" si="87"/>
        <v>0</v>
      </c>
      <c r="AC452">
        <f t="shared" si="88"/>
        <v>0</v>
      </c>
      <c r="AD452">
        <f t="shared" si="89"/>
        <v>0</v>
      </c>
      <c r="AE452">
        <f t="shared" si="84"/>
        <v>0</v>
      </c>
      <c r="AF452">
        <f t="shared" si="90"/>
        <v>531059.59788034181</v>
      </c>
      <c r="AG452">
        <f t="shared" si="91"/>
        <v>280000</v>
      </c>
      <c r="AO452">
        <f t="shared" si="92"/>
        <v>444</v>
      </c>
      <c r="AP452">
        <f t="shared" si="93"/>
        <v>0</v>
      </c>
      <c r="AQ452">
        <f t="shared" si="94"/>
        <v>0</v>
      </c>
      <c r="AR452">
        <f t="shared" si="95"/>
        <v>0</v>
      </c>
      <c r="AS452">
        <f t="shared" si="85"/>
        <v>0</v>
      </c>
      <c r="AT452">
        <f t="shared" si="96"/>
        <v>250155.11224442557</v>
      </c>
      <c r="AU452">
        <f t="shared" si="97"/>
        <v>279999.99999999988</v>
      </c>
    </row>
    <row r="453" spans="27:47" ht="14.4">
      <c r="AA453">
        <f t="shared" si="86"/>
        <v>445</v>
      </c>
      <c r="AB453">
        <f t="shared" si="87"/>
        <v>0</v>
      </c>
      <c r="AC453">
        <f t="shared" si="88"/>
        <v>0</v>
      </c>
      <c r="AD453">
        <f t="shared" si="89"/>
        <v>0</v>
      </c>
      <c r="AE453">
        <f t="shared" si="84"/>
        <v>0</v>
      </c>
      <c r="AF453">
        <f t="shared" si="90"/>
        <v>531059.59788034181</v>
      </c>
      <c r="AG453">
        <f t="shared" si="91"/>
        <v>280000</v>
      </c>
      <c r="AO453">
        <f t="shared" si="92"/>
        <v>445</v>
      </c>
      <c r="AP453">
        <f t="shared" si="93"/>
        <v>0</v>
      </c>
      <c r="AQ453">
        <f t="shared" si="94"/>
        <v>0</v>
      </c>
      <c r="AR453">
        <f t="shared" si="95"/>
        <v>0</v>
      </c>
      <c r="AS453">
        <f t="shared" si="85"/>
        <v>0</v>
      </c>
      <c r="AT453">
        <f t="shared" si="96"/>
        <v>250155.11224442557</v>
      </c>
      <c r="AU453">
        <f t="shared" si="97"/>
        <v>279999.99999999988</v>
      </c>
    </row>
    <row r="454" spans="27:47" ht="14.4">
      <c r="AA454">
        <f t="shared" si="86"/>
        <v>446</v>
      </c>
      <c r="AB454">
        <f t="shared" si="87"/>
        <v>0</v>
      </c>
      <c r="AC454">
        <f t="shared" si="88"/>
        <v>0</v>
      </c>
      <c r="AD454">
        <f t="shared" si="89"/>
        <v>0</v>
      </c>
      <c r="AE454">
        <f t="shared" si="84"/>
        <v>0</v>
      </c>
      <c r="AF454">
        <f t="shared" si="90"/>
        <v>531059.59788034181</v>
      </c>
      <c r="AG454">
        <f t="shared" si="91"/>
        <v>280000</v>
      </c>
      <c r="AO454">
        <f t="shared" si="92"/>
        <v>446</v>
      </c>
      <c r="AP454">
        <f t="shared" si="93"/>
        <v>0</v>
      </c>
      <c r="AQ454">
        <f t="shared" si="94"/>
        <v>0</v>
      </c>
      <c r="AR454">
        <f t="shared" si="95"/>
        <v>0</v>
      </c>
      <c r="AS454">
        <f t="shared" si="85"/>
        <v>0</v>
      </c>
      <c r="AT454">
        <f t="shared" si="96"/>
        <v>250155.11224442557</v>
      </c>
      <c r="AU454">
        <f t="shared" si="97"/>
        <v>279999.99999999988</v>
      </c>
    </row>
    <row r="455" spans="27:47" ht="14.4">
      <c r="AA455">
        <f t="shared" si="86"/>
        <v>447</v>
      </c>
      <c r="AB455">
        <f t="shared" si="87"/>
        <v>0</v>
      </c>
      <c r="AC455">
        <f t="shared" si="88"/>
        <v>0</v>
      </c>
      <c r="AD455">
        <f t="shared" si="89"/>
        <v>0</v>
      </c>
      <c r="AE455">
        <f t="shared" si="84"/>
        <v>0</v>
      </c>
      <c r="AF455">
        <f t="shared" si="90"/>
        <v>531059.59788034181</v>
      </c>
      <c r="AG455">
        <f t="shared" si="91"/>
        <v>280000</v>
      </c>
      <c r="AO455">
        <f t="shared" si="92"/>
        <v>447</v>
      </c>
      <c r="AP455">
        <f t="shared" si="93"/>
        <v>0</v>
      </c>
      <c r="AQ455">
        <f t="shared" si="94"/>
        <v>0</v>
      </c>
      <c r="AR455">
        <f t="shared" si="95"/>
        <v>0</v>
      </c>
      <c r="AS455">
        <f t="shared" si="85"/>
        <v>0</v>
      </c>
      <c r="AT455">
        <f t="shared" si="96"/>
        <v>250155.11224442557</v>
      </c>
      <c r="AU455">
        <f t="shared" si="97"/>
        <v>279999.99999999988</v>
      </c>
    </row>
    <row r="456" spans="27:47" ht="14.4">
      <c r="AA456">
        <f t="shared" si="86"/>
        <v>448</v>
      </c>
      <c r="AB456">
        <f t="shared" si="87"/>
        <v>0</v>
      </c>
      <c r="AC456">
        <f t="shared" si="88"/>
        <v>0</v>
      </c>
      <c r="AD456">
        <f t="shared" si="89"/>
        <v>0</v>
      </c>
      <c r="AE456">
        <f t="shared" si="84"/>
        <v>0</v>
      </c>
      <c r="AF456">
        <f t="shared" si="90"/>
        <v>531059.59788034181</v>
      </c>
      <c r="AG456">
        <f t="shared" si="91"/>
        <v>280000</v>
      </c>
      <c r="AO456">
        <f t="shared" si="92"/>
        <v>448</v>
      </c>
      <c r="AP456">
        <f t="shared" si="93"/>
        <v>0</v>
      </c>
      <c r="AQ456">
        <f t="shared" si="94"/>
        <v>0</v>
      </c>
      <c r="AR456">
        <f t="shared" si="95"/>
        <v>0</v>
      </c>
      <c r="AS456">
        <f t="shared" si="85"/>
        <v>0</v>
      </c>
      <c r="AT456">
        <f t="shared" si="96"/>
        <v>250155.11224442557</v>
      </c>
      <c r="AU456">
        <f t="shared" si="97"/>
        <v>279999.99999999988</v>
      </c>
    </row>
    <row r="457" spans="27:47" ht="14.4">
      <c r="AA457">
        <f t="shared" si="86"/>
        <v>449</v>
      </c>
      <c r="AB457">
        <f t="shared" si="87"/>
        <v>0</v>
      </c>
      <c r="AC457">
        <f t="shared" si="88"/>
        <v>0</v>
      </c>
      <c r="AD457">
        <f t="shared" si="89"/>
        <v>0</v>
      </c>
      <c r="AE457">
        <f t="shared" ref="AE457:AE520" si="98">MAX(0,AD457-AC457)</f>
        <v>0</v>
      </c>
      <c r="AF457">
        <f t="shared" si="90"/>
        <v>531059.59788034181</v>
      </c>
      <c r="AG457">
        <f t="shared" si="91"/>
        <v>280000</v>
      </c>
      <c r="AO457">
        <f t="shared" si="92"/>
        <v>449</v>
      </c>
      <c r="AP457">
        <f t="shared" si="93"/>
        <v>0</v>
      </c>
      <c r="AQ457">
        <f t="shared" si="94"/>
        <v>0</v>
      </c>
      <c r="AR457">
        <f t="shared" si="95"/>
        <v>0</v>
      </c>
      <c r="AS457">
        <f t="shared" ref="AS457:AS520" si="99">MAX(0,AR457-AQ457)</f>
        <v>0</v>
      </c>
      <c r="AT457">
        <f t="shared" si="96"/>
        <v>250155.11224442557</v>
      </c>
      <c r="AU457">
        <f t="shared" si="97"/>
        <v>279999.99999999988</v>
      </c>
    </row>
    <row r="458" spans="27:47" ht="14.4">
      <c r="AA458">
        <f t="shared" ref="AA458:AA521" si="100">AA457+1</f>
        <v>450</v>
      </c>
      <c r="AB458">
        <f t="shared" ref="AB458:AB521" si="101">MAX(0,AB457-AE458)</f>
        <v>0</v>
      </c>
      <c r="AC458">
        <f t="shared" ref="AC458:AC521" si="102">IF(AB457&lt;=0,0,AB457*$AA$6)</f>
        <v>0</v>
      </c>
      <c r="AD458">
        <f t="shared" ref="AD458:AD521" si="103">IF(AB457&lt;=0,0,MIN($AC$6,AB457+AC458))</f>
        <v>0</v>
      </c>
      <c r="AE458">
        <f t="shared" si="98"/>
        <v>0</v>
      </c>
      <c r="AF458">
        <f t="shared" ref="AF458:AF521" si="104">AF457+AC458</f>
        <v>531059.59788034181</v>
      </c>
      <c r="AG458">
        <f t="shared" ref="AG458:AG521" si="105">AG457+AE458</f>
        <v>280000</v>
      </c>
      <c r="AO458">
        <f t="shared" ref="AO458:AO521" si="106">AO457+1</f>
        <v>450</v>
      </c>
      <c r="AP458">
        <f t="shared" ref="AP458:AP521" si="107">MAX(0,AP457-AS458)</f>
        <v>0</v>
      </c>
      <c r="AQ458">
        <f t="shared" ref="AQ458:AQ521" si="108">IF(AP457&lt;=0,0,AP457*$AA$6)</f>
        <v>0</v>
      </c>
      <c r="AR458">
        <f t="shared" ref="AR458:AR521" si="109">IF(AP457&lt;=0,0,MIN($AD$6,AP457+AQ458))</f>
        <v>0</v>
      </c>
      <c r="AS458">
        <f t="shared" si="99"/>
        <v>0</v>
      </c>
      <c r="AT458">
        <f t="shared" ref="AT458:AT521" si="110">AT457+AQ458</f>
        <v>250155.11224442557</v>
      </c>
      <c r="AU458">
        <f t="shared" ref="AU458:AU521" si="111">AU457+AS458</f>
        <v>279999.99999999988</v>
      </c>
    </row>
    <row r="459" spans="27:47" ht="14.4">
      <c r="AA459">
        <f t="shared" si="100"/>
        <v>451</v>
      </c>
      <c r="AB459">
        <f t="shared" si="101"/>
        <v>0</v>
      </c>
      <c r="AC459">
        <f t="shared" si="102"/>
        <v>0</v>
      </c>
      <c r="AD459">
        <f t="shared" si="103"/>
        <v>0</v>
      </c>
      <c r="AE459">
        <f t="shared" si="98"/>
        <v>0</v>
      </c>
      <c r="AF459">
        <f t="shared" si="104"/>
        <v>531059.59788034181</v>
      </c>
      <c r="AG459">
        <f t="shared" si="105"/>
        <v>280000</v>
      </c>
      <c r="AO459">
        <f t="shared" si="106"/>
        <v>451</v>
      </c>
      <c r="AP459">
        <f t="shared" si="107"/>
        <v>0</v>
      </c>
      <c r="AQ459">
        <f t="shared" si="108"/>
        <v>0</v>
      </c>
      <c r="AR459">
        <f t="shared" si="109"/>
        <v>0</v>
      </c>
      <c r="AS459">
        <f t="shared" si="99"/>
        <v>0</v>
      </c>
      <c r="AT459">
        <f t="shared" si="110"/>
        <v>250155.11224442557</v>
      </c>
      <c r="AU459">
        <f t="shared" si="111"/>
        <v>279999.99999999988</v>
      </c>
    </row>
    <row r="460" spans="27:47" ht="14.4">
      <c r="AA460">
        <f t="shared" si="100"/>
        <v>452</v>
      </c>
      <c r="AB460">
        <f t="shared" si="101"/>
        <v>0</v>
      </c>
      <c r="AC460">
        <f t="shared" si="102"/>
        <v>0</v>
      </c>
      <c r="AD460">
        <f t="shared" si="103"/>
        <v>0</v>
      </c>
      <c r="AE460">
        <f t="shared" si="98"/>
        <v>0</v>
      </c>
      <c r="AF460">
        <f t="shared" si="104"/>
        <v>531059.59788034181</v>
      </c>
      <c r="AG460">
        <f t="shared" si="105"/>
        <v>280000</v>
      </c>
      <c r="AO460">
        <f t="shared" si="106"/>
        <v>452</v>
      </c>
      <c r="AP460">
        <f t="shared" si="107"/>
        <v>0</v>
      </c>
      <c r="AQ460">
        <f t="shared" si="108"/>
        <v>0</v>
      </c>
      <c r="AR460">
        <f t="shared" si="109"/>
        <v>0</v>
      </c>
      <c r="AS460">
        <f t="shared" si="99"/>
        <v>0</v>
      </c>
      <c r="AT460">
        <f t="shared" si="110"/>
        <v>250155.11224442557</v>
      </c>
      <c r="AU460">
        <f t="shared" si="111"/>
        <v>279999.99999999988</v>
      </c>
    </row>
    <row r="461" spans="27:47" ht="14.4">
      <c r="AA461">
        <f t="shared" si="100"/>
        <v>453</v>
      </c>
      <c r="AB461">
        <f t="shared" si="101"/>
        <v>0</v>
      </c>
      <c r="AC461">
        <f t="shared" si="102"/>
        <v>0</v>
      </c>
      <c r="AD461">
        <f t="shared" si="103"/>
        <v>0</v>
      </c>
      <c r="AE461">
        <f t="shared" si="98"/>
        <v>0</v>
      </c>
      <c r="AF461">
        <f t="shared" si="104"/>
        <v>531059.59788034181</v>
      </c>
      <c r="AG461">
        <f t="shared" si="105"/>
        <v>280000</v>
      </c>
      <c r="AO461">
        <f t="shared" si="106"/>
        <v>453</v>
      </c>
      <c r="AP461">
        <f t="shared" si="107"/>
        <v>0</v>
      </c>
      <c r="AQ461">
        <f t="shared" si="108"/>
        <v>0</v>
      </c>
      <c r="AR461">
        <f t="shared" si="109"/>
        <v>0</v>
      </c>
      <c r="AS461">
        <f t="shared" si="99"/>
        <v>0</v>
      </c>
      <c r="AT461">
        <f t="shared" si="110"/>
        <v>250155.11224442557</v>
      </c>
      <c r="AU461">
        <f t="shared" si="111"/>
        <v>279999.99999999988</v>
      </c>
    </row>
    <row r="462" spans="27:47" ht="14.4">
      <c r="AA462">
        <f t="shared" si="100"/>
        <v>454</v>
      </c>
      <c r="AB462">
        <f t="shared" si="101"/>
        <v>0</v>
      </c>
      <c r="AC462">
        <f t="shared" si="102"/>
        <v>0</v>
      </c>
      <c r="AD462">
        <f t="shared" si="103"/>
        <v>0</v>
      </c>
      <c r="AE462">
        <f t="shared" si="98"/>
        <v>0</v>
      </c>
      <c r="AF462">
        <f t="shared" si="104"/>
        <v>531059.59788034181</v>
      </c>
      <c r="AG462">
        <f t="shared" si="105"/>
        <v>280000</v>
      </c>
      <c r="AO462">
        <f t="shared" si="106"/>
        <v>454</v>
      </c>
      <c r="AP462">
        <f t="shared" si="107"/>
        <v>0</v>
      </c>
      <c r="AQ462">
        <f t="shared" si="108"/>
        <v>0</v>
      </c>
      <c r="AR462">
        <f t="shared" si="109"/>
        <v>0</v>
      </c>
      <c r="AS462">
        <f t="shared" si="99"/>
        <v>0</v>
      </c>
      <c r="AT462">
        <f t="shared" si="110"/>
        <v>250155.11224442557</v>
      </c>
      <c r="AU462">
        <f t="shared" si="111"/>
        <v>279999.99999999988</v>
      </c>
    </row>
    <row r="463" spans="27:47" ht="14.4">
      <c r="AA463">
        <f t="shared" si="100"/>
        <v>455</v>
      </c>
      <c r="AB463">
        <f t="shared" si="101"/>
        <v>0</v>
      </c>
      <c r="AC463">
        <f t="shared" si="102"/>
        <v>0</v>
      </c>
      <c r="AD463">
        <f t="shared" si="103"/>
        <v>0</v>
      </c>
      <c r="AE463">
        <f t="shared" si="98"/>
        <v>0</v>
      </c>
      <c r="AF463">
        <f t="shared" si="104"/>
        <v>531059.59788034181</v>
      </c>
      <c r="AG463">
        <f t="shared" si="105"/>
        <v>280000</v>
      </c>
      <c r="AO463">
        <f t="shared" si="106"/>
        <v>455</v>
      </c>
      <c r="AP463">
        <f t="shared" si="107"/>
        <v>0</v>
      </c>
      <c r="AQ463">
        <f t="shared" si="108"/>
        <v>0</v>
      </c>
      <c r="AR463">
        <f t="shared" si="109"/>
        <v>0</v>
      </c>
      <c r="AS463">
        <f t="shared" si="99"/>
        <v>0</v>
      </c>
      <c r="AT463">
        <f t="shared" si="110"/>
        <v>250155.11224442557</v>
      </c>
      <c r="AU463">
        <f t="shared" si="111"/>
        <v>279999.99999999988</v>
      </c>
    </row>
    <row r="464" spans="27:47" ht="14.4">
      <c r="AA464">
        <f t="shared" si="100"/>
        <v>456</v>
      </c>
      <c r="AB464">
        <f t="shared" si="101"/>
        <v>0</v>
      </c>
      <c r="AC464">
        <f t="shared" si="102"/>
        <v>0</v>
      </c>
      <c r="AD464">
        <f t="shared" si="103"/>
        <v>0</v>
      </c>
      <c r="AE464">
        <f t="shared" si="98"/>
        <v>0</v>
      </c>
      <c r="AF464">
        <f t="shared" si="104"/>
        <v>531059.59788034181</v>
      </c>
      <c r="AG464">
        <f t="shared" si="105"/>
        <v>280000</v>
      </c>
      <c r="AO464">
        <f t="shared" si="106"/>
        <v>456</v>
      </c>
      <c r="AP464">
        <f t="shared" si="107"/>
        <v>0</v>
      </c>
      <c r="AQ464">
        <f t="shared" si="108"/>
        <v>0</v>
      </c>
      <c r="AR464">
        <f t="shared" si="109"/>
        <v>0</v>
      </c>
      <c r="AS464">
        <f t="shared" si="99"/>
        <v>0</v>
      </c>
      <c r="AT464">
        <f t="shared" si="110"/>
        <v>250155.11224442557</v>
      </c>
      <c r="AU464">
        <f t="shared" si="111"/>
        <v>279999.99999999988</v>
      </c>
    </row>
    <row r="465" spans="27:47" ht="14.4">
      <c r="AA465">
        <f t="shared" si="100"/>
        <v>457</v>
      </c>
      <c r="AB465">
        <f t="shared" si="101"/>
        <v>0</v>
      </c>
      <c r="AC465">
        <f t="shared" si="102"/>
        <v>0</v>
      </c>
      <c r="AD465">
        <f t="shared" si="103"/>
        <v>0</v>
      </c>
      <c r="AE465">
        <f t="shared" si="98"/>
        <v>0</v>
      </c>
      <c r="AF465">
        <f t="shared" si="104"/>
        <v>531059.59788034181</v>
      </c>
      <c r="AG465">
        <f t="shared" si="105"/>
        <v>280000</v>
      </c>
      <c r="AO465">
        <f t="shared" si="106"/>
        <v>457</v>
      </c>
      <c r="AP465">
        <f t="shared" si="107"/>
        <v>0</v>
      </c>
      <c r="AQ465">
        <f t="shared" si="108"/>
        <v>0</v>
      </c>
      <c r="AR465">
        <f t="shared" si="109"/>
        <v>0</v>
      </c>
      <c r="AS465">
        <f t="shared" si="99"/>
        <v>0</v>
      </c>
      <c r="AT465">
        <f t="shared" si="110"/>
        <v>250155.11224442557</v>
      </c>
      <c r="AU465">
        <f t="shared" si="111"/>
        <v>279999.99999999988</v>
      </c>
    </row>
    <row r="466" spans="27:47" ht="14.4">
      <c r="AA466">
        <f t="shared" si="100"/>
        <v>458</v>
      </c>
      <c r="AB466">
        <f t="shared" si="101"/>
        <v>0</v>
      </c>
      <c r="AC466">
        <f t="shared" si="102"/>
        <v>0</v>
      </c>
      <c r="AD466">
        <f t="shared" si="103"/>
        <v>0</v>
      </c>
      <c r="AE466">
        <f t="shared" si="98"/>
        <v>0</v>
      </c>
      <c r="AF466">
        <f t="shared" si="104"/>
        <v>531059.59788034181</v>
      </c>
      <c r="AG466">
        <f t="shared" si="105"/>
        <v>280000</v>
      </c>
      <c r="AO466">
        <f t="shared" si="106"/>
        <v>458</v>
      </c>
      <c r="AP466">
        <f t="shared" si="107"/>
        <v>0</v>
      </c>
      <c r="AQ466">
        <f t="shared" si="108"/>
        <v>0</v>
      </c>
      <c r="AR466">
        <f t="shared" si="109"/>
        <v>0</v>
      </c>
      <c r="AS466">
        <f t="shared" si="99"/>
        <v>0</v>
      </c>
      <c r="AT466">
        <f t="shared" si="110"/>
        <v>250155.11224442557</v>
      </c>
      <c r="AU466">
        <f t="shared" si="111"/>
        <v>279999.99999999988</v>
      </c>
    </row>
    <row r="467" spans="27:47" ht="14.4">
      <c r="AA467">
        <f t="shared" si="100"/>
        <v>459</v>
      </c>
      <c r="AB467">
        <f t="shared" si="101"/>
        <v>0</v>
      </c>
      <c r="AC467">
        <f t="shared" si="102"/>
        <v>0</v>
      </c>
      <c r="AD467">
        <f t="shared" si="103"/>
        <v>0</v>
      </c>
      <c r="AE467">
        <f t="shared" si="98"/>
        <v>0</v>
      </c>
      <c r="AF467">
        <f t="shared" si="104"/>
        <v>531059.59788034181</v>
      </c>
      <c r="AG467">
        <f t="shared" si="105"/>
        <v>280000</v>
      </c>
      <c r="AO467">
        <f t="shared" si="106"/>
        <v>459</v>
      </c>
      <c r="AP467">
        <f t="shared" si="107"/>
        <v>0</v>
      </c>
      <c r="AQ467">
        <f t="shared" si="108"/>
        <v>0</v>
      </c>
      <c r="AR467">
        <f t="shared" si="109"/>
        <v>0</v>
      </c>
      <c r="AS467">
        <f t="shared" si="99"/>
        <v>0</v>
      </c>
      <c r="AT467">
        <f t="shared" si="110"/>
        <v>250155.11224442557</v>
      </c>
      <c r="AU467">
        <f t="shared" si="111"/>
        <v>279999.99999999988</v>
      </c>
    </row>
    <row r="468" spans="27:47" ht="14.4">
      <c r="AA468">
        <f t="shared" si="100"/>
        <v>460</v>
      </c>
      <c r="AB468">
        <f t="shared" si="101"/>
        <v>0</v>
      </c>
      <c r="AC468">
        <f t="shared" si="102"/>
        <v>0</v>
      </c>
      <c r="AD468">
        <f t="shared" si="103"/>
        <v>0</v>
      </c>
      <c r="AE468">
        <f t="shared" si="98"/>
        <v>0</v>
      </c>
      <c r="AF468">
        <f t="shared" si="104"/>
        <v>531059.59788034181</v>
      </c>
      <c r="AG468">
        <f t="shared" si="105"/>
        <v>280000</v>
      </c>
      <c r="AO468">
        <f t="shared" si="106"/>
        <v>460</v>
      </c>
      <c r="AP468">
        <f t="shared" si="107"/>
        <v>0</v>
      </c>
      <c r="AQ468">
        <f t="shared" si="108"/>
        <v>0</v>
      </c>
      <c r="AR468">
        <f t="shared" si="109"/>
        <v>0</v>
      </c>
      <c r="AS468">
        <f t="shared" si="99"/>
        <v>0</v>
      </c>
      <c r="AT468">
        <f t="shared" si="110"/>
        <v>250155.11224442557</v>
      </c>
      <c r="AU468">
        <f t="shared" si="111"/>
        <v>279999.99999999988</v>
      </c>
    </row>
    <row r="469" spans="27:47" ht="14.4">
      <c r="AA469">
        <f t="shared" si="100"/>
        <v>461</v>
      </c>
      <c r="AB469">
        <f t="shared" si="101"/>
        <v>0</v>
      </c>
      <c r="AC469">
        <f t="shared" si="102"/>
        <v>0</v>
      </c>
      <c r="AD469">
        <f t="shared" si="103"/>
        <v>0</v>
      </c>
      <c r="AE469">
        <f t="shared" si="98"/>
        <v>0</v>
      </c>
      <c r="AF469">
        <f t="shared" si="104"/>
        <v>531059.59788034181</v>
      </c>
      <c r="AG469">
        <f t="shared" si="105"/>
        <v>280000</v>
      </c>
      <c r="AO469">
        <f t="shared" si="106"/>
        <v>461</v>
      </c>
      <c r="AP469">
        <f t="shared" si="107"/>
        <v>0</v>
      </c>
      <c r="AQ469">
        <f t="shared" si="108"/>
        <v>0</v>
      </c>
      <c r="AR469">
        <f t="shared" si="109"/>
        <v>0</v>
      </c>
      <c r="AS469">
        <f t="shared" si="99"/>
        <v>0</v>
      </c>
      <c r="AT469">
        <f t="shared" si="110"/>
        <v>250155.11224442557</v>
      </c>
      <c r="AU469">
        <f t="shared" si="111"/>
        <v>279999.99999999988</v>
      </c>
    </row>
    <row r="470" spans="27:47" ht="14.4">
      <c r="AA470">
        <f t="shared" si="100"/>
        <v>462</v>
      </c>
      <c r="AB470">
        <f t="shared" si="101"/>
        <v>0</v>
      </c>
      <c r="AC470">
        <f t="shared" si="102"/>
        <v>0</v>
      </c>
      <c r="AD470">
        <f t="shared" si="103"/>
        <v>0</v>
      </c>
      <c r="AE470">
        <f t="shared" si="98"/>
        <v>0</v>
      </c>
      <c r="AF470">
        <f t="shared" si="104"/>
        <v>531059.59788034181</v>
      </c>
      <c r="AG470">
        <f t="shared" si="105"/>
        <v>280000</v>
      </c>
      <c r="AO470">
        <f t="shared" si="106"/>
        <v>462</v>
      </c>
      <c r="AP470">
        <f t="shared" si="107"/>
        <v>0</v>
      </c>
      <c r="AQ470">
        <f t="shared" si="108"/>
        <v>0</v>
      </c>
      <c r="AR470">
        <f t="shared" si="109"/>
        <v>0</v>
      </c>
      <c r="AS470">
        <f t="shared" si="99"/>
        <v>0</v>
      </c>
      <c r="AT470">
        <f t="shared" si="110"/>
        <v>250155.11224442557</v>
      </c>
      <c r="AU470">
        <f t="shared" si="111"/>
        <v>279999.99999999988</v>
      </c>
    </row>
    <row r="471" spans="27:47" ht="14.4">
      <c r="AA471">
        <f t="shared" si="100"/>
        <v>463</v>
      </c>
      <c r="AB471">
        <f t="shared" si="101"/>
        <v>0</v>
      </c>
      <c r="AC471">
        <f t="shared" si="102"/>
        <v>0</v>
      </c>
      <c r="AD471">
        <f t="shared" si="103"/>
        <v>0</v>
      </c>
      <c r="AE471">
        <f t="shared" si="98"/>
        <v>0</v>
      </c>
      <c r="AF471">
        <f t="shared" si="104"/>
        <v>531059.59788034181</v>
      </c>
      <c r="AG471">
        <f t="shared" si="105"/>
        <v>280000</v>
      </c>
      <c r="AO471">
        <f t="shared" si="106"/>
        <v>463</v>
      </c>
      <c r="AP471">
        <f t="shared" si="107"/>
        <v>0</v>
      </c>
      <c r="AQ471">
        <f t="shared" si="108"/>
        <v>0</v>
      </c>
      <c r="AR471">
        <f t="shared" si="109"/>
        <v>0</v>
      </c>
      <c r="AS471">
        <f t="shared" si="99"/>
        <v>0</v>
      </c>
      <c r="AT471">
        <f t="shared" si="110"/>
        <v>250155.11224442557</v>
      </c>
      <c r="AU471">
        <f t="shared" si="111"/>
        <v>279999.99999999988</v>
      </c>
    </row>
    <row r="472" spans="27:47" ht="14.4">
      <c r="AA472">
        <f t="shared" si="100"/>
        <v>464</v>
      </c>
      <c r="AB472">
        <f t="shared" si="101"/>
        <v>0</v>
      </c>
      <c r="AC472">
        <f t="shared" si="102"/>
        <v>0</v>
      </c>
      <c r="AD472">
        <f t="shared" si="103"/>
        <v>0</v>
      </c>
      <c r="AE472">
        <f t="shared" si="98"/>
        <v>0</v>
      </c>
      <c r="AF472">
        <f t="shared" si="104"/>
        <v>531059.59788034181</v>
      </c>
      <c r="AG472">
        <f t="shared" si="105"/>
        <v>280000</v>
      </c>
      <c r="AO472">
        <f t="shared" si="106"/>
        <v>464</v>
      </c>
      <c r="AP472">
        <f t="shared" si="107"/>
        <v>0</v>
      </c>
      <c r="AQ472">
        <f t="shared" si="108"/>
        <v>0</v>
      </c>
      <c r="AR472">
        <f t="shared" si="109"/>
        <v>0</v>
      </c>
      <c r="AS472">
        <f t="shared" si="99"/>
        <v>0</v>
      </c>
      <c r="AT472">
        <f t="shared" si="110"/>
        <v>250155.11224442557</v>
      </c>
      <c r="AU472">
        <f t="shared" si="111"/>
        <v>279999.99999999988</v>
      </c>
    </row>
    <row r="473" spans="27:47" ht="14.4">
      <c r="AA473">
        <f t="shared" si="100"/>
        <v>465</v>
      </c>
      <c r="AB473">
        <f t="shared" si="101"/>
        <v>0</v>
      </c>
      <c r="AC473">
        <f t="shared" si="102"/>
        <v>0</v>
      </c>
      <c r="AD473">
        <f t="shared" si="103"/>
        <v>0</v>
      </c>
      <c r="AE473">
        <f t="shared" si="98"/>
        <v>0</v>
      </c>
      <c r="AF473">
        <f t="shared" si="104"/>
        <v>531059.59788034181</v>
      </c>
      <c r="AG473">
        <f t="shared" si="105"/>
        <v>280000</v>
      </c>
      <c r="AO473">
        <f t="shared" si="106"/>
        <v>465</v>
      </c>
      <c r="AP473">
        <f t="shared" si="107"/>
        <v>0</v>
      </c>
      <c r="AQ473">
        <f t="shared" si="108"/>
        <v>0</v>
      </c>
      <c r="AR473">
        <f t="shared" si="109"/>
        <v>0</v>
      </c>
      <c r="AS473">
        <f t="shared" si="99"/>
        <v>0</v>
      </c>
      <c r="AT473">
        <f t="shared" si="110"/>
        <v>250155.11224442557</v>
      </c>
      <c r="AU473">
        <f t="shared" si="111"/>
        <v>279999.99999999988</v>
      </c>
    </row>
    <row r="474" spans="27:47" ht="14.4">
      <c r="AA474">
        <f t="shared" si="100"/>
        <v>466</v>
      </c>
      <c r="AB474">
        <f t="shared" si="101"/>
        <v>0</v>
      </c>
      <c r="AC474">
        <f t="shared" si="102"/>
        <v>0</v>
      </c>
      <c r="AD474">
        <f t="shared" si="103"/>
        <v>0</v>
      </c>
      <c r="AE474">
        <f t="shared" si="98"/>
        <v>0</v>
      </c>
      <c r="AF474">
        <f t="shared" si="104"/>
        <v>531059.59788034181</v>
      </c>
      <c r="AG474">
        <f t="shared" si="105"/>
        <v>280000</v>
      </c>
      <c r="AO474">
        <f t="shared" si="106"/>
        <v>466</v>
      </c>
      <c r="AP474">
        <f t="shared" si="107"/>
        <v>0</v>
      </c>
      <c r="AQ474">
        <f t="shared" si="108"/>
        <v>0</v>
      </c>
      <c r="AR474">
        <f t="shared" si="109"/>
        <v>0</v>
      </c>
      <c r="AS474">
        <f t="shared" si="99"/>
        <v>0</v>
      </c>
      <c r="AT474">
        <f t="shared" si="110"/>
        <v>250155.11224442557</v>
      </c>
      <c r="AU474">
        <f t="shared" si="111"/>
        <v>279999.99999999988</v>
      </c>
    </row>
    <row r="475" spans="27:47" ht="14.4">
      <c r="AA475">
        <f t="shared" si="100"/>
        <v>467</v>
      </c>
      <c r="AB475">
        <f t="shared" si="101"/>
        <v>0</v>
      </c>
      <c r="AC475">
        <f t="shared" si="102"/>
        <v>0</v>
      </c>
      <c r="AD475">
        <f t="shared" si="103"/>
        <v>0</v>
      </c>
      <c r="AE475">
        <f t="shared" si="98"/>
        <v>0</v>
      </c>
      <c r="AF475">
        <f t="shared" si="104"/>
        <v>531059.59788034181</v>
      </c>
      <c r="AG475">
        <f t="shared" si="105"/>
        <v>280000</v>
      </c>
      <c r="AO475">
        <f t="shared" si="106"/>
        <v>467</v>
      </c>
      <c r="AP475">
        <f t="shared" si="107"/>
        <v>0</v>
      </c>
      <c r="AQ475">
        <f t="shared" si="108"/>
        <v>0</v>
      </c>
      <c r="AR475">
        <f t="shared" si="109"/>
        <v>0</v>
      </c>
      <c r="AS475">
        <f t="shared" si="99"/>
        <v>0</v>
      </c>
      <c r="AT475">
        <f t="shared" si="110"/>
        <v>250155.11224442557</v>
      </c>
      <c r="AU475">
        <f t="shared" si="111"/>
        <v>279999.99999999988</v>
      </c>
    </row>
    <row r="476" spans="27:47" ht="14.4">
      <c r="AA476">
        <f t="shared" si="100"/>
        <v>468</v>
      </c>
      <c r="AB476">
        <f t="shared" si="101"/>
        <v>0</v>
      </c>
      <c r="AC476">
        <f t="shared" si="102"/>
        <v>0</v>
      </c>
      <c r="AD476">
        <f t="shared" si="103"/>
        <v>0</v>
      </c>
      <c r="AE476">
        <f t="shared" si="98"/>
        <v>0</v>
      </c>
      <c r="AF476">
        <f t="shared" si="104"/>
        <v>531059.59788034181</v>
      </c>
      <c r="AG476">
        <f t="shared" si="105"/>
        <v>280000</v>
      </c>
      <c r="AO476">
        <f t="shared" si="106"/>
        <v>468</v>
      </c>
      <c r="AP476">
        <f t="shared" si="107"/>
        <v>0</v>
      </c>
      <c r="AQ476">
        <f t="shared" si="108"/>
        <v>0</v>
      </c>
      <c r="AR476">
        <f t="shared" si="109"/>
        <v>0</v>
      </c>
      <c r="AS476">
        <f t="shared" si="99"/>
        <v>0</v>
      </c>
      <c r="AT476">
        <f t="shared" si="110"/>
        <v>250155.11224442557</v>
      </c>
      <c r="AU476">
        <f t="shared" si="111"/>
        <v>279999.99999999988</v>
      </c>
    </row>
    <row r="477" spans="27:47" ht="14.4">
      <c r="AA477">
        <f t="shared" si="100"/>
        <v>469</v>
      </c>
      <c r="AB477">
        <f t="shared" si="101"/>
        <v>0</v>
      </c>
      <c r="AC477">
        <f t="shared" si="102"/>
        <v>0</v>
      </c>
      <c r="AD477">
        <f t="shared" si="103"/>
        <v>0</v>
      </c>
      <c r="AE477">
        <f t="shared" si="98"/>
        <v>0</v>
      </c>
      <c r="AF477">
        <f t="shared" si="104"/>
        <v>531059.59788034181</v>
      </c>
      <c r="AG477">
        <f t="shared" si="105"/>
        <v>280000</v>
      </c>
      <c r="AO477">
        <f t="shared" si="106"/>
        <v>469</v>
      </c>
      <c r="AP477">
        <f t="shared" si="107"/>
        <v>0</v>
      </c>
      <c r="AQ477">
        <f t="shared" si="108"/>
        <v>0</v>
      </c>
      <c r="AR477">
        <f t="shared" si="109"/>
        <v>0</v>
      </c>
      <c r="AS477">
        <f t="shared" si="99"/>
        <v>0</v>
      </c>
      <c r="AT477">
        <f t="shared" si="110"/>
        <v>250155.11224442557</v>
      </c>
      <c r="AU477">
        <f t="shared" si="111"/>
        <v>279999.99999999988</v>
      </c>
    </row>
    <row r="478" spans="27:47" ht="14.4">
      <c r="AA478">
        <f t="shared" si="100"/>
        <v>470</v>
      </c>
      <c r="AB478">
        <f t="shared" si="101"/>
        <v>0</v>
      </c>
      <c r="AC478">
        <f t="shared" si="102"/>
        <v>0</v>
      </c>
      <c r="AD478">
        <f t="shared" si="103"/>
        <v>0</v>
      </c>
      <c r="AE478">
        <f t="shared" si="98"/>
        <v>0</v>
      </c>
      <c r="AF478">
        <f t="shared" si="104"/>
        <v>531059.59788034181</v>
      </c>
      <c r="AG478">
        <f t="shared" si="105"/>
        <v>280000</v>
      </c>
      <c r="AO478">
        <f t="shared" si="106"/>
        <v>470</v>
      </c>
      <c r="AP478">
        <f t="shared" si="107"/>
        <v>0</v>
      </c>
      <c r="AQ478">
        <f t="shared" si="108"/>
        <v>0</v>
      </c>
      <c r="AR478">
        <f t="shared" si="109"/>
        <v>0</v>
      </c>
      <c r="AS478">
        <f t="shared" si="99"/>
        <v>0</v>
      </c>
      <c r="AT478">
        <f t="shared" si="110"/>
        <v>250155.11224442557</v>
      </c>
      <c r="AU478">
        <f t="shared" si="111"/>
        <v>279999.99999999988</v>
      </c>
    </row>
    <row r="479" spans="27:47" ht="14.4">
      <c r="AA479">
        <f t="shared" si="100"/>
        <v>471</v>
      </c>
      <c r="AB479">
        <f t="shared" si="101"/>
        <v>0</v>
      </c>
      <c r="AC479">
        <f t="shared" si="102"/>
        <v>0</v>
      </c>
      <c r="AD479">
        <f t="shared" si="103"/>
        <v>0</v>
      </c>
      <c r="AE479">
        <f t="shared" si="98"/>
        <v>0</v>
      </c>
      <c r="AF479">
        <f t="shared" si="104"/>
        <v>531059.59788034181</v>
      </c>
      <c r="AG479">
        <f t="shared" si="105"/>
        <v>280000</v>
      </c>
      <c r="AO479">
        <f t="shared" si="106"/>
        <v>471</v>
      </c>
      <c r="AP479">
        <f t="shared" si="107"/>
        <v>0</v>
      </c>
      <c r="AQ479">
        <f t="shared" si="108"/>
        <v>0</v>
      </c>
      <c r="AR479">
        <f t="shared" si="109"/>
        <v>0</v>
      </c>
      <c r="AS479">
        <f t="shared" si="99"/>
        <v>0</v>
      </c>
      <c r="AT479">
        <f t="shared" si="110"/>
        <v>250155.11224442557</v>
      </c>
      <c r="AU479">
        <f t="shared" si="111"/>
        <v>279999.99999999988</v>
      </c>
    </row>
    <row r="480" spans="27:47" ht="14.4">
      <c r="AA480">
        <f t="shared" si="100"/>
        <v>472</v>
      </c>
      <c r="AB480">
        <f t="shared" si="101"/>
        <v>0</v>
      </c>
      <c r="AC480">
        <f t="shared" si="102"/>
        <v>0</v>
      </c>
      <c r="AD480">
        <f t="shared" si="103"/>
        <v>0</v>
      </c>
      <c r="AE480">
        <f t="shared" si="98"/>
        <v>0</v>
      </c>
      <c r="AF480">
        <f t="shared" si="104"/>
        <v>531059.59788034181</v>
      </c>
      <c r="AG480">
        <f t="shared" si="105"/>
        <v>280000</v>
      </c>
      <c r="AO480">
        <f t="shared" si="106"/>
        <v>472</v>
      </c>
      <c r="AP480">
        <f t="shared" si="107"/>
        <v>0</v>
      </c>
      <c r="AQ480">
        <f t="shared" si="108"/>
        <v>0</v>
      </c>
      <c r="AR480">
        <f t="shared" si="109"/>
        <v>0</v>
      </c>
      <c r="AS480">
        <f t="shared" si="99"/>
        <v>0</v>
      </c>
      <c r="AT480">
        <f t="shared" si="110"/>
        <v>250155.11224442557</v>
      </c>
      <c r="AU480">
        <f t="shared" si="111"/>
        <v>279999.99999999988</v>
      </c>
    </row>
    <row r="481" spans="27:47" ht="14.4">
      <c r="AA481">
        <f t="shared" si="100"/>
        <v>473</v>
      </c>
      <c r="AB481">
        <f t="shared" si="101"/>
        <v>0</v>
      </c>
      <c r="AC481">
        <f t="shared" si="102"/>
        <v>0</v>
      </c>
      <c r="AD481">
        <f t="shared" si="103"/>
        <v>0</v>
      </c>
      <c r="AE481">
        <f t="shared" si="98"/>
        <v>0</v>
      </c>
      <c r="AF481">
        <f t="shared" si="104"/>
        <v>531059.59788034181</v>
      </c>
      <c r="AG481">
        <f t="shared" si="105"/>
        <v>280000</v>
      </c>
      <c r="AO481">
        <f t="shared" si="106"/>
        <v>473</v>
      </c>
      <c r="AP481">
        <f t="shared" si="107"/>
        <v>0</v>
      </c>
      <c r="AQ481">
        <f t="shared" si="108"/>
        <v>0</v>
      </c>
      <c r="AR481">
        <f t="shared" si="109"/>
        <v>0</v>
      </c>
      <c r="AS481">
        <f t="shared" si="99"/>
        <v>0</v>
      </c>
      <c r="AT481">
        <f t="shared" si="110"/>
        <v>250155.11224442557</v>
      </c>
      <c r="AU481">
        <f t="shared" si="111"/>
        <v>279999.99999999988</v>
      </c>
    </row>
    <row r="482" spans="27:47" ht="14.4">
      <c r="AA482">
        <f t="shared" si="100"/>
        <v>474</v>
      </c>
      <c r="AB482">
        <f t="shared" si="101"/>
        <v>0</v>
      </c>
      <c r="AC482">
        <f t="shared" si="102"/>
        <v>0</v>
      </c>
      <c r="AD482">
        <f t="shared" si="103"/>
        <v>0</v>
      </c>
      <c r="AE482">
        <f t="shared" si="98"/>
        <v>0</v>
      </c>
      <c r="AF482">
        <f t="shared" si="104"/>
        <v>531059.59788034181</v>
      </c>
      <c r="AG482">
        <f t="shared" si="105"/>
        <v>280000</v>
      </c>
      <c r="AO482">
        <f t="shared" si="106"/>
        <v>474</v>
      </c>
      <c r="AP482">
        <f t="shared" si="107"/>
        <v>0</v>
      </c>
      <c r="AQ482">
        <f t="shared" si="108"/>
        <v>0</v>
      </c>
      <c r="AR482">
        <f t="shared" si="109"/>
        <v>0</v>
      </c>
      <c r="AS482">
        <f t="shared" si="99"/>
        <v>0</v>
      </c>
      <c r="AT482">
        <f t="shared" si="110"/>
        <v>250155.11224442557</v>
      </c>
      <c r="AU482">
        <f t="shared" si="111"/>
        <v>279999.99999999988</v>
      </c>
    </row>
    <row r="483" spans="27:47" ht="14.4">
      <c r="AA483">
        <f t="shared" si="100"/>
        <v>475</v>
      </c>
      <c r="AB483">
        <f t="shared" si="101"/>
        <v>0</v>
      </c>
      <c r="AC483">
        <f t="shared" si="102"/>
        <v>0</v>
      </c>
      <c r="AD483">
        <f t="shared" si="103"/>
        <v>0</v>
      </c>
      <c r="AE483">
        <f t="shared" si="98"/>
        <v>0</v>
      </c>
      <c r="AF483">
        <f t="shared" si="104"/>
        <v>531059.59788034181</v>
      </c>
      <c r="AG483">
        <f t="shared" si="105"/>
        <v>280000</v>
      </c>
      <c r="AO483">
        <f t="shared" si="106"/>
        <v>475</v>
      </c>
      <c r="AP483">
        <f t="shared" si="107"/>
        <v>0</v>
      </c>
      <c r="AQ483">
        <f t="shared" si="108"/>
        <v>0</v>
      </c>
      <c r="AR483">
        <f t="shared" si="109"/>
        <v>0</v>
      </c>
      <c r="AS483">
        <f t="shared" si="99"/>
        <v>0</v>
      </c>
      <c r="AT483">
        <f t="shared" si="110"/>
        <v>250155.11224442557</v>
      </c>
      <c r="AU483">
        <f t="shared" si="111"/>
        <v>279999.99999999988</v>
      </c>
    </row>
    <row r="484" spans="27:47" ht="14.4">
      <c r="AA484">
        <f t="shared" si="100"/>
        <v>476</v>
      </c>
      <c r="AB484">
        <f t="shared" si="101"/>
        <v>0</v>
      </c>
      <c r="AC484">
        <f t="shared" si="102"/>
        <v>0</v>
      </c>
      <c r="AD484">
        <f t="shared" si="103"/>
        <v>0</v>
      </c>
      <c r="AE484">
        <f t="shared" si="98"/>
        <v>0</v>
      </c>
      <c r="AF484">
        <f t="shared" si="104"/>
        <v>531059.59788034181</v>
      </c>
      <c r="AG484">
        <f t="shared" si="105"/>
        <v>280000</v>
      </c>
      <c r="AO484">
        <f t="shared" si="106"/>
        <v>476</v>
      </c>
      <c r="AP484">
        <f t="shared" si="107"/>
        <v>0</v>
      </c>
      <c r="AQ484">
        <f t="shared" si="108"/>
        <v>0</v>
      </c>
      <c r="AR484">
        <f t="shared" si="109"/>
        <v>0</v>
      </c>
      <c r="AS484">
        <f t="shared" si="99"/>
        <v>0</v>
      </c>
      <c r="AT484">
        <f t="shared" si="110"/>
        <v>250155.11224442557</v>
      </c>
      <c r="AU484">
        <f t="shared" si="111"/>
        <v>279999.99999999988</v>
      </c>
    </row>
    <row r="485" spans="27:47" ht="14.4">
      <c r="AA485">
        <f t="shared" si="100"/>
        <v>477</v>
      </c>
      <c r="AB485">
        <f t="shared" si="101"/>
        <v>0</v>
      </c>
      <c r="AC485">
        <f t="shared" si="102"/>
        <v>0</v>
      </c>
      <c r="AD485">
        <f t="shared" si="103"/>
        <v>0</v>
      </c>
      <c r="AE485">
        <f t="shared" si="98"/>
        <v>0</v>
      </c>
      <c r="AF485">
        <f t="shared" si="104"/>
        <v>531059.59788034181</v>
      </c>
      <c r="AG485">
        <f t="shared" si="105"/>
        <v>280000</v>
      </c>
      <c r="AO485">
        <f t="shared" si="106"/>
        <v>477</v>
      </c>
      <c r="AP485">
        <f t="shared" si="107"/>
        <v>0</v>
      </c>
      <c r="AQ485">
        <f t="shared" si="108"/>
        <v>0</v>
      </c>
      <c r="AR485">
        <f t="shared" si="109"/>
        <v>0</v>
      </c>
      <c r="AS485">
        <f t="shared" si="99"/>
        <v>0</v>
      </c>
      <c r="AT485">
        <f t="shared" si="110"/>
        <v>250155.11224442557</v>
      </c>
      <c r="AU485">
        <f t="shared" si="111"/>
        <v>279999.99999999988</v>
      </c>
    </row>
    <row r="486" spans="27:47" ht="14.4">
      <c r="AA486">
        <f t="shared" si="100"/>
        <v>478</v>
      </c>
      <c r="AB486">
        <f t="shared" si="101"/>
        <v>0</v>
      </c>
      <c r="AC486">
        <f t="shared" si="102"/>
        <v>0</v>
      </c>
      <c r="AD486">
        <f t="shared" si="103"/>
        <v>0</v>
      </c>
      <c r="AE486">
        <f t="shared" si="98"/>
        <v>0</v>
      </c>
      <c r="AF486">
        <f t="shared" si="104"/>
        <v>531059.59788034181</v>
      </c>
      <c r="AG486">
        <f t="shared" si="105"/>
        <v>280000</v>
      </c>
      <c r="AO486">
        <f t="shared" si="106"/>
        <v>478</v>
      </c>
      <c r="AP486">
        <f t="shared" si="107"/>
        <v>0</v>
      </c>
      <c r="AQ486">
        <f t="shared" si="108"/>
        <v>0</v>
      </c>
      <c r="AR486">
        <f t="shared" si="109"/>
        <v>0</v>
      </c>
      <c r="AS486">
        <f t="shared" si="99"/>
        <v>0</v>
      </c>
      <c r="AT486">
        <f t="shared" si="110"/>
        <v>250155.11224442557</v>
      </c>
      <c r="AU486">
        <f t="shared" si="111"/>
        <v>279999.99999999988</v>
      </c>
    </row>
    <row r="487" spans="27:47" ht="14.4">
      <c r="AA487">
        <f t="shared" si="100"/>
        <v>479</v>
      </c>
      <c r="AB487">
        <f t="shared" si="101"/>
        <v>0</v>
      </c>
      <c r="AC487">
        <f t="shared" si="102"/>
        <v>0</v>
      </c>
      <c r="AD487">
        <f t="shared" si="103"/>
        <v>0</v>
      </c>
      <c r="AE487">
        <f t="shared" si="98"/>
        <v>0</v>
      </c>
      <c r="AF487">
        <f t="shared" si="104"/>
        <v>531059.59788034181</v>
      </c>
      <c r="AG487">
        <f t="shared" si="105"/>
        <v>280000</v>
      </c>
      <c r="AO487">
        <f t="shared" si="106"/>
        <v>479</v>
      </c>
      <c r="AP487">
        <f t="shared" si="107"/>
        <v>0</v>
      </c>
      <c r="AQ487">
        <f t="shared" si="108"/>
        <v>0</v>
      </c>
      <c r="AR487">
        <f t="shared" si="109"/>
        <v>0</v>
      </c>
      <c r="AS487">
        <f t="shared" si="99"/>
        <v>0</v>
      </c>
      <c r="AT487">
        <f t="shared" si="110"/>
        <v>250155.11224442557</v>
      </c>
      <c r="AU487">
        <f t="shared" si="111"/>
        <v>279999.99999999988</v>
      </c>
    </row>
    <row r="488" spans="27:47" ht="14.4">
      <c r="AA488">
        <f t="shared" si="100"/>
        <v>480</v>
      </c>
      <c r="AB488">
        <f t="shared" si="101"/>
        <v>0</v>
      </c>
      <c r="AC488">
        <f t="shared" si="102"/>
        <v>0</v>
      </c>
      <c r="AD488">
        <f t="shared" si="103"/>
        <v>0</v>
      </c>
      <c r="AE488">
        <f t="shared" si="98"/>
        <v>0</v>
      </c>
      <c r="AF488">
        <f t="shared" si="104"/>
        <v>531059.59788034181</v>
      </c>
      <c r="AG488">
        <f t="shared" si="105"/>
        <v>280000</v>
      </c>
      <c r="AO488">
        <f t="shared" si="106"/>
        <v>480</v>
      </c>
      <c r="AP488">
        <f t="shared" si="107"/>
        <v>0</v>
      </c>
      <c r="AQ488">
        <f t="shared" si="108"/>
        <v>0</v>
      </c>
      <c r="AR488">
        <f t="shared" si="109"/>
        <v>0</v>
      </c>
      <c r="AS488">
        <f t="shared" si="99"/>
        <v>0</v>
      </c>
      <c r="AT488">
        <f t="shared" si="110"/>
        <v>250155.11224442557</v>
      </c>
      <c r="AU488">
        <f t="shared" si="111"/>
        <v>279999.99999999988</v>
      </c>
    </row>
    <row r="489" spans="27:47" ht="14.4">
      <c r="AA489">
        <f t="shared" si="100"/>
        <v>481</v>
      </c>
      <c r="AB489">
        <f t="shared" si="101"/>
        <v>0</v>
      </c>
      <c r="AC489">
        <f t="shared" si="102"/>
        <v>0</v>
      </c>
      <c r="AD489">
        <f t="shared" si="103"/>
        <v>0</v>
      </c>
      <c r="AE489">
        <f t="shared" si="98"/>
        <v>0</v>
      </c>
      <c r="AF489">
        <f t="shared" si="104"/>
        <v>531059.59788034181</v>
      </c>
      <c r="AG489">
        <f t="shared" si="105"/>
        <v>280000</v>
      </c>
      <c r="AO489">
        <f t="shared" si="106"/>
        <v>481</v>
      </c>
      <c r="AP489">
        <f t="shared" si="107"/>
        <v>0</v>
      </c>
      <c r="AQ489">
        <f t="shared" si="108"/>
        <v>0</v>
      </c>
      <c r="AR489">
        <f t="shared" si="109"/>
        <v>0</v>
      </c>
      <c r="AS489">
        <f t="shared" si="99"/>
        <v>0</v>
      </c>
      <c r="AT489">
        <f t="shared" si="110"/>
        <v>250155.11224442557</v>
      </c>
      <c r="AU489">
        <f t="shared" si="111"/>
        <v>279999.99999999988</v>
      </c>
    </row>
    <row r="490" spans="27:47" ht="14.4">
      <c r="AA490">
        <f t="shared" si="100"/>
        <v>482</v>
      </c>
      <c r="AB490">
        <f t="shared" si="101"/>
        <v>0</v>
      </c>
      <c r="AC490">
        <f t="shared" si="102"/>
        <v>0</v>
      </c>
      <c r="AD490">
        <f t="shared" si="103"/>
        <v>0</v>
      </c>
      <c r="AE490">
        <f t="shared" si="98"/>
        <v>0</v>
      </c>
      <c r="AF490">
        <f t="shared" si="104"/>
        <v>531059.59788034181</v>
      </c>
      <c r="AG490">
        <f t="shared" si="105"/>
        <v>280000</v>
      </c>
      <c r="AO490">
        <f t="shared" si="106"/>
        <v>482</v>
      </c>
      <c r="AP490">
        <f t="shared" si="107"/>
        <v>0</v>
      </c>
      <c r="AQ490">
        <f t="shared" si="108"/>
        <v>0</v>
      </c>
      <c r="AR490">
        <f t="shared" si="109"/>
        <v>0</v>
      </c>
      <c r="AS490">
        <f t="shared" si="99"/>
        <v>0</v>
      </c>
      <c r="AT490">
        <f t="shared" si="110"/>
        <v>250155.11224442557</v>
      </c>
      <c r="AU490">
        <f t="shared" si="111"/>
        <v>279999.99999999988</v>
      </c>
    </row>
    <row r="491" spans="27:47" ht="14.4">
      <c r="AA491">
        <f t="shared" si="100"/>
        <v>483</v>
      </c>
      <c r="AB491">
        <f t="shared" si="101"/>
        <v>0</v>
      </c>
      <c r="AC491">
        <f t="shared" si="102"/>
        <v>0</v>
      </c>
      <c r="AD491">
        <f t="shared" si="103"/>
        <v>0</v>
      </c>
      <c r="AE491">
        <f t="shared" si="98"/>
        <v>0</v>
      </c>
      <c r="AF491">
        <f t="shared" si="104"/>
        <v>531059.59788034181</v>
      </c>
      <c r="AG491">
        <f t="shared" si="105"/>
        <v>280000</v>
      </c>
      <c r="AO491">
        <f t="shared" si="106"/>
        <v>483</v>
      </c>
      <c r="AP491">
        <f t="shared" si="107"/>
        <v>0</v>
      </c>
      <c r="AQ491">
        <f t="shared" si="108"/>
        <v>0</v>
      </c>
      <c r="AR491">
        <f t="shared" si="109"/>
        <v>0</v>
      </c>
      <c r="AS491">
        <f t="shared" si="99"/>
        <v>0</v>
      </c>
      <c r="AT491">
        <f t="shared" si="110"/>
        <v>250155.11224442557</v>
      </c>
      <c r="AU491">
        <f t="shared" si="111"/>
        <v>279999.99999999988</v>
      </c>
    </row>
    <row r="492" spans="27:47" ht="14.4">
      <c r="AA492">
        <f t="shared" si="100"/>
        <v>484</v>
      </c>
      <c r="AB492">
        <f t="shared" si="101"/>
        <v>0</v>
      </c>
      <c r="AC492">
        <f t="shared" si="102"/>
        <v>0</v>
      </c>
      <c r="AD492">
        <f t="shared" si="103"/>
        <v>0</v>
      </c>
      <c r="AE492">
        <f t="shared" si="98"/>
        <v>0</v>
      </c>
      <c r="AF492">
        <f t="shared" si="104"/>
        <v>531059.59788034181</v>
      </c>
      <c r="AG492">
        <f t="shared" si="105"/>
        <v>280000</v>
      </c>
      <c r="AO492">
        <f t="shared" si="106"/>
        <v>484</v>
      </c>
      <c r="AP492">
        <f t="shared" si="107"/>
        <v>0</v>
      </c>
      <c r="AQ492">
        <f t="shared" si="108"/>
        <v>0</v>
      </c>
      <c r="AR492">
        <f t="shared" si="109"/>
        <v>0</v>
      </c>
      <c r="AS492">
        <f t="shared" si="99"/>
        <v>0</v>
      </c>
      <c r="AT492">
        <f t="shared" si="110"/>
        <v>250155.11224442557</v>
      </c>
      <c r="AU492">
        <f t="shared" si="111"/>
        <v>279999.99999999988</v>
      </c>
    </row>
    <row r="493" spans="27:47" ht="14.4">
      <c r="AA493">
        <f t="shared" si="100"/>
        <v>485</v>
      </c>
      <c r="AB493">
        <f t="shared" si="101"/>
        <v>0</v>
      </c>
      <c r="AC493">
        <f t="shared" si="102"/>
        <v>0</v>
      </c>
      <c r="AD493">
        <f t="shared" si="103"/>
        <v>0</v>
      </c>
      <c r="AE493">
        <f t="shared" si="98"/>
        <v>0</v>
      </c>
      <c r="AF493">
        <f t="shared" si="104"/>
        <v>531059.59788034181</v>
      </c>
      <c r="AG493">
        <f t="shared" si="105"/>
        <v>280000</v>
      </c>
      <c r="AO493">
        <f t="shared" si="106"/>
        <v>485</v>
      </c>
      <c r="AP493">
        <f t="shared" si="107"/>
        <v>0</v>
      </c>
      <c r="AQ493">
        <f t="shared" si="108"/>
        <v>0</v>
      </c>
      <c r="AR493">
        <f t="shared" si="109"/>
        <v>0</v>
      </c>
      <c r="AS493">
        <f t="shared" si="99"/>
        <v>0</v>
      </c>
      <c r="AT493">
        <f t="shared" si="110"/>
        <v>250155.11224442557</v>
      </c>
      <c r="AU493">
        <f t="shared" si="111"/>
        <v>279999.99999999988</v>
      </c>
    </row>
    <row r="494" spans="27:47" ht="14.4">
      <c r="AA494">
        <f t="shared" si="100"/>
        <v>486</v>
      </c>
      <c r="AB494">
        <f t="shared" si="101"/>
        <v>0</v>
      </c>
      <c r="AC494">
        <f t="shared" si="102"/>
        <v>0</v>
      </c>
      <c r="AD494">
        <f t="shared" si="103"/>
        <v>0</v>
      </c>
      <c r="AE494">
        <f t="shared" si="98"/>
        <v>0</v>
      </c>
      <c r="AF494">
        <f t="shared" si="104"/>
        <v>531059.59788034181</v>
      </c>
      <c r="AG494">
        <f t="shared" si="105"/>
        <v>280000</v>
      </c>
      <c r="AO494">
        <f t="shared" si="106"/>
        <v>486</v>
      </c>
      <c r="AP494">
        <f t="shared" si="107"/>
        <v>0</v>
      </c>
      <c r="AQ494">
        <f t="shared" si="108"/>
        <v>0</v>
      </c>
      <c r="AR494">
        <f t="shared" si="109"/>
        <v>0</v>
      </c>
      <c r="AS494">
        <f t="shared" si="99"/>
        <v>0</v>
      </c>
      <c r="AT494">
        <f t="shared" si="110"/>
        <v>250155.11224442557</v>
      </c>
      <c r="AU494">
        <f t="shared" si="111"/>
        <v>279999.99999999988</v>
      </c>
    </row>
    <row r="495" spans="27:47" ht="14.4">
      <c r="AA495">
        <f t="shared" si="100"/>
        <v>487</v>
      </c>
      <c r="AB495">
        <f t="shared" si="101"/>
        <v>0</v>
      </c>
      <c r="AC495">
        <f t="shared" si="102"/>
        <v>0</v>
      </c>
      <c r="AD495">
        <f t="shared" si="103"/>
        <v>0</v>
      </c>
      <c r="AE495">
        <f t="shared" si="98"/>
        <v>0</v>
      </c>
      <c r="AF495">
        <f t="shared" si="104"/>
        <v>531059.59788034181</v>
      </c>
      <c r="AG495">
        <f t="shared" si="105"/>
        <v>280000</v>
      </c>
      <c r="AO495">
        <f t="shared" si="106"/>
        <v>487</v>
      </c>
      <c r="AP495">
        <f t="shared" si="107"/>
        <v>0</v>
      </c>
      <c r="AQ495">
        <f t="shared" si="108"/>
        <v>0</v>
      </c>
      <c r="AR495">
        <f t="shared" si="109"/>
        <v>0</v>
      </c>
      <c r="AS495">
        <f t="shared" si="99"/>
        <v>0</v>
      </c>
      <c r="AT495">
        <f t="shared" si="110"/>
        <v>250155.11224442557</v>
      </c>
      <c r="AU495">
        <f t="shared" si="111"/>
        <v>279999.99999999988</v>
      </c>
    </row>
    <row r="496" spans="27:47" ht="14.4">
      <c r="AA496">
        <f t="shared" si="100"/>
        <v>488</v>
      </c>
      <c r="AB496">
        <f t="shared" si="101"/>
        <v>0</v>
      </c>
      <c r="AC496">
        <f t="shared" si="102"/>
        <v>0</v>
      </c>
      <c r="AD496">
        <f t="shared" si="103"/>
        <v>0</v>
      </c>
      <c r="AE496">
        <f t="shared" si="98"/>
        <v>0</v>
      </c>
      <c r="AF496">
        <f t="shared" si="104"/>
        <v>531059.59788034181</v>
      </c>
      <c r="AG496">
        <f t="shared" si="105"/>
        <v>280000</v>
      </c>
      <c r="AO496">
        <f t="shared" si="106"/>
        <v>488</v>
      </c>
      <c r="AP496">
        <f t="shared" si="107"/>
        <v>0</v>
      </c>
      <c r="AQ496">
        <f t="shared" si="108"/>
        <v>0</v>
      </c>
      <c r="AR496">
        <f t="shared" si="109"/>
        <v>0</v>
      </c>
      <c r="AS496">
        <f t="shared" si="99"/>
        <v>0</v>
      </c>
      <c r="AT496">
        <f t="shared" si="110"/>
        <v>250155.11224442557</v>
      </c>
      <c r="AU496">
        <f t="shared" si="111"/>
        <v>279999.99999999988</v>
      </c>
    </row>
    <row r="497" spans="27:47" ht="14.4">
      <c r="AA497">
        <f t="shared" si="100"/>
        <v>489</v>
      </c>
      <c r="AB497">
        <f t="shared" si="101"/>
        <v>0</v>
      </c>
      <c r="AC497">
        <f t="shared" si="102"/>
        <v>0</v>
      </c>
      <c r="AD497">
        <f t="shared" si="103"/>
        <v>0</v>
      </c>
      <c r="AE497">
        <f t="shared" si="98"/>
        <v>0</v>
      </c>
      <c r="AF497">
        <f t="shared" si="104"/>
        <v>531059.59788034181</v>
      </c>
      <c r="AG497">
        <f t="shared" si="105"/>
        <v>280000</v>
      </c>
      <c r="AO497">
        <f t="shared" si="106"/>
        <v>489</v>
      </c>
      <c r="AP497">
        <f t="shared" si="107"/>
        <v>0</v>
      </c>
      <c r="AQ497">
        <f t="shared" si="108"/>
        <v>0</v>
      </c>
      <c r="AR497">
        <f t="shared" si="109"/>
        <v>0</v>
      </c>
      <c r="AS497">
        <f t="shared" si="99"/>
        <v>0</v>
      </c>
      <c r="AT497">
        <f t="shared" si="110"/>
        <v>250155.11224442557</v>
      </c>
      <c r="AU497">
        <f t="shared" si="111"/>
        <v>279999.99999999988</v>
      </c>
    </row>
    <row r="498" spans="27:47" ht="14.4">
      <c r="AA498">
        <f t="shared" si="100"/>
        <v>490</v>
      </c>
      <c r="AB498">
        <f t="shared" si="101"/>
        <v>0</v>
      </c>
      <c r="AC498">
        <f t="shared" si="102"/>
        <v>0</v>
      </c>
      <c r="AD498">
        <f t="shared" si="103"/>
        <v>0</v>
      </c>
      <c r="AE498">
        <f t="shared" si="98"/>
        <v>0</v>
      </c>
      <c r="AF498">
        <f t="shared" si="104"/>
        <v>531059.59788034181</v>
      </c>
      <c r="AG498">
        <f t="shared" si="105"/>
        <v>280000</v>
      </c>
      <c r="AO498">
        <f t="shared" si="106"/>
        <v>490</v>
      </c>
      <c r="AP498">
        <f t="shared" si="107"/>
        <v>0</v>
      </c>
      <c r="AQ498">
        <f t="shared" si="108"/>
        <v>0</v>
      </c>
      <c r="AR498">
        <f t="shared" si="109"/>
        <v>0</v>
      </c>
      <c r="AS498">
        <f t="shared" si="99"/>
        <v>0</v>
      </c>
      <c r="AT498">
        <f t="shared" si="110"/>
        <v>250155.11224442557</v>
      </c>
      <c r="AU498">
        <f t="shared" si="111"/>
        <v>279999.99999999988</v>
      </c>
    </row>
    <row r="499" spans="27:47" ht="14.4">
      <c r="AA499">
        <f t="shared" si="100"/>
        <v>491</v>
      </c>
      <c r="AB499">
        <f t="shared" si="101"/>
        <v>0</v>
      </c>
      <c r="AC499">
        <f t="shared" si="102"/>
        <v>0</v>
      </c>
      <c r="AD499">
        <f t="shared" si="103"/>
        <v>0</v>
      </c>
      <c r="AE499">
        <f t="shared" si="98"/>
        <v>0</v>
      </c>
      <c r="AF499">
        <f t="shared" si="104"/>
        <v>531059.59788034181</v>
      </c>
      <c r="AG499">
        <f t="shared" si="105"/>
        <v>280000</v>
      </c>
      <c r="AO499">
        <f t="shared" si="106"/>
        <v>491</v>
      </c>
      <c r="AP499">
        <f t="shared" si="107"/>
        <v>0</v>
      </c>
      <c r="AQ499">
        <f t="shared" si="108"/>
        <v>0</v>
      </c>
      <c r="AR499">
        <f t="shared" si="109"/>
        <v>0</v>
      </c>
      <c r="AS499">
        <f t="shared" si="99"/>
        <v>0</v>
      </c>
      <c r="AT499">
        <f t="shared" si="110"/>
        <v>250155.11224442557</v>
      </c>
      <c r="AU499">
        <f t="shared" si="111"/>
        <v>279999.99999999988</v>
      </c>
    </row>
    <row r="500" spans="27:47" ht="14.4">
      <c r="AA500">
        <f t="shared" si="100"/>
        <v>492</v>
      </c>
      <c r="AB500">
        <f t="shared" si="101"/>
        <v>0</v>
      </c>
      <c r="AC500">
        <f t="shared" si="102"/>
        <v>0</v>
      </c>
      <c r="AD500">
        <f t="shared" si="103"/>
        <v>0</v>
      </c>
      <c r="AE500">
        <f t="shared" si="98"/>
        <v>0</v>
      </c>
      <c r="AF500">
        <f t="shared" si="104"/>
        <v>531059.59788034181</v>
      </c>
      <c r="AG500">
        <f t="shared" si="105"/>
        <v>280000</v>
      </c>
      <c r="AO500">
        <f t="shared" si="106"/>
        <v>492</v>
      </c>
      <c r="AP500">
        <f t="shared" si="107"/>
        <v>0</v>
      </c>
      <c r="AQ500">
        <f t="shared" si="108"/>
        <v>0</v>
      </c>
      <c r="AR500">
        <f t="shared" si="109"/>
        <v>0</v>
      </c>
      <c r="AS500">
        <f t="shared" si="99"/>
        <v>0</v>
      </c>
      <c r="AT500">
        <f t="shared" si="110"/>
        <v>250155.11224442557</v>
      </c>
      <c r="AU500">
        <f t="shared" si="111"/>
        <v>279999.99999999988</v>
      </c>
    </row>
    <row r="501" spans="27:47" ht="14.4">
      <c r="AA501">
        <f t="shared" si="100"/>
        <v>493</v>
      </c>
      <c r="AB501">
        <f t="shared" si="101"/>
        <v>0</v>
      </c>
      <c r="AC501">
        <f t="shared" si="102"/>
        <v>0</v>
      </c>
      <c r="AD501">
        <f t="shared" si="103"/>
        <v>0</v>
      </c>
      <c r="AE501">
        <f t="shared" si="98"/>
        <v>0</v>
      </c>
      <c r="AF501">
        <f t="shared" si="104"/>
        <v>531059.59788034181</v>
      </c>
      <c r="AG501">
        <f t="shared" si="105"/>
        <v>280000</v>
      </c>
      <c r="AO501">
        <f t="shared" si="106"/>
        <v>493</v>
      </c>
      <c r="AP501">
        <f t="shared" si="107"/>
        <v>0</v>
      </c>
      <c r="AQ501">
        <f t="shared" si="108"/>
        <v>0</v>
      </c>
      <c r="AR501">
        <f t="shared" si="109"/>
        <v>0</v>
      </c>
      <c r="AS501">
        <f t="shared" si="99"/>
        <v>0</v>
      </c>
      <c r="AT501">
        <f t="shared" si="110"/>
        <v>250155.11224442557</v>
      </c>
      <c r="AU501">
        <f t="shared" si="111"/>
        <v>279999.99999999988</v>
      </c>
    </row>
    <row r="502" spans="27:47" ht="14.4">
      <c r="AA502">
        <f t="shared" si="100"/>
        <v>494</v>
      </c>
      <c r="AB502">
        <f t="shared" si="101"/>
        <v>0</v>
      </c>
      <c r="AC502">
        <f t="shared" si="102"/>
        <v>0</v>
      </c>
      <c r="AD502">
        <f t="shared" si="103"/>
        <v>0</v>
      </c>
      <c r="AE502">
        <f t="shared" si="98"/>
        <v>0</v>
      </c>
      <c r="AF502">
        <f t="shared" si="104"/>
        <v>531059.59788034181</v>
      </c>
      <c r="AG502">
        <f t="shared" si="105"/>
        <v>280000</v>
      </c>
      <c r="AO502">
        <f t="shared" si="106"/>
        <v>494</v>
      </c>
      <c r="AP502">
        <f t="shared" si="107"/>
        <v>0</v>
      </c>
      <c r="AQ502">
        <f t="shared" si="108"/>
        <v>0</v>
      </c>
      <c r="AR502">
        <f t="shared" si="109"/>
        <v>0</v>
      </c>
      <c r="AS502">
        <f t="shared" si="99"/>
        <v>0</v>
      </c>
      <c r="AT502">
        <f t="shared" si="110"/>
        <v>250155.11224442557</v>
      </c>
      <c r="AU502">
        <f t="shared" si="111"/>
        <v>279999.99999999988</v>
      </c>
    </row>
    <row r="503" spans="27:47" ht="14.4">
      <c r="AA503">
        <f t="shared" si="100"/>
        <v>495</v>
      </c>
      <c r="AB503">
        <f t="shared" si="101"/>
        <v>0</v>
      </c>
      <c r="AC503">
        <f t="shared" si="102"/>
        <v>0</v>
      </c>
      <c r="AD503">
        <f t="shared" si="103"/>
        <v>0</v>
      </c>
      <c r="AE503">
        <f t="shared" si="98"/>
        <v>0</v>
      </c>
      <c r="AF503">
        <f t="shared" si="104"/>
        <v>531059.59788034181</v>
      </c>
      <c r="AG503">
        <f t="shared" si="105"/>
        <v>280000</v>
      </c>
      <c r="AO503">
        <f t="shared" si="106"/>
        <v>495</v>
      </c>
      <c r="AP503">
        <f t="shared" si="107"/>
        <v>0</v>
      </c>
      <c r="AQ503">
        <f t="shared" si="108"/>
        <v>0</v>
      </c>
      <c r="AR503">
        <f t="shared" si="109"/>
        <v>0</v>
      </c>
      <c r="AS503">
        <f t="shared" si="99"/>
        <v>0</v>
      </c>
      <c r="AT503">
        <f t="shared" si="110"/>
        <v>250155.11224442557</v>
      </c>
      <c r="AU503">
        <f t="shared" si="111"/>
        <v>279999.99999999988</v>
      </c>
    </row>
    <row r="504" spans="27:47" ht="14.4">
      <c r="AA504">
        <f t="shared" si="100"/>
        <v>496</v>
      </c>
      <c r="AB504">
        <f t="shared" si="101"/>
        <v>0</v>
      </c>
      <c r="AC504">
        <f t="shared" si="102"/>
        <v>0</v>
      </c>
      <c r="AD504">
        <f t="shared" si="103"/>
        <v>0</v>
      </c>
      <c r="AE504">
        <f t="shared" si="98"/>
        <v>0</v>
      </c>
      <c r="AF504">
        <f t="shared" si="104"/>
        <v>531059.59788034181</v>
      </c>
      <c r="AG504">
        <f t="shared" si="105"/>
        <v>280000</v>
      </c>
      <c r="AO504">
        <f t="shared" si="106"/>
        <v>496</v>
      </c>
      <c r="AP504">
        <f t="shared" si="107"/>
        <v>0</v>
      </c>
      <c r="AQ504">
        <f t="shared" si="108"/>
        <v>0</v>
      </c>
      <c r="AR504">
        <f t="shared" si="109"/>
        <v>0</v>
      </c>
      <c r="AS504">
        <f t="shared" si="99"/>
        <v>0</v>
      </c>
      <c r="AT504">
        <f t="shared" si="110"/>
        <v>250155.11224442557</v>
      </c>
      <c r="AU504">
        <f t="shared" si="111"/>
        <v>279999.99999999988</v>
      </c>
    </row>
    <row r="505" spans="27:47" ht="14.4">
      <c r="AA505">
        <f t="shared" si="100"/>
        <v>497</v>
      </c>
      <c r="AB505">
        <f t="shared" si="101"/>
        <v>0</v>
      </c>
      <c r="AC505">
        <f t="shared" si="102"/>
        <v>0</v>
      </c>
      <c r="AD505">
        <f t="shared" si="103"/>
        <v>0</v>
      </c>
      <c r="AE505">
        <f t="shared" si="98"/>
        <v>0</v>
      </c>
      <c r="AF505">
        <f t="shared" si="104"/>
        <v>531059.59788034181</v>
      </c>
      <c r="AG505">
        <f t="shared" si="105"/>
        <v>280000</v>
      </c>
      <c r="AO505">
        <f t="shared" si="106"/>
        <v>497</v>
      </c>
      <c r="AP505">
        <f t="shared" si="107"/>
        <v>0</v>
      </c>
      <c r="AQ505">
        <f t="shared" si="108"/>
        <v>0</v>
      </c>
      <c r="AR505">
        <f t="shared" si="109"/>
        <v>0</v>
      </c>
      <c r="AS505">
        <f t="shared" si="99"/>
        <v>0</v>
      </c>
      <c r="AT505">
        <f t="shared" si="110"/>
        <v>250155.11224442557</v>
      </c>
      <c r="AU505">
        <f t="shared" si="111"/>
        <v>279999.99999999988</v>
      </c>
    </row>
    <row r="506" spans="27:47" ht="14.4">
      <c r="AA506">
        <f t="shared" si="100"/>
        <v>498</v>
      </c>
      <c r="AB506">
        <f t="shared" si="101"/>
        <v>0</v>
      </c>
      <c r="AC506">
        <f t="shared" si="102"/>
        <v>0</v>
      </c>
      <c r="AD506">
        <f t="shared" si="103"/>
        <v>0</v>
      </c>
      <c r="AE506">
        <f t="shared" si="98"/>
        <v>0</v>
      </c>
      <c r="AF506">
        <f t="shared" si="104"/>
        <v>531059.59788034181</v>
      </c>
      <c r="AG506">
        <f t="shared" si="105"/>
        <v>280000</v>
      </c>
      <c r="AO506">
        <f t="shared" si="106"/>
        <v>498</v>
      </c>
      <c r="AP506">
        <f t="shared" si="107"/>
        <v>0</v>
      </c>
      <c r="AQ506">
        <f t="shared" si="108"/>
        <v>0</v>
      </c>
      <c r="AR506">
        <f t="shared" si="109"/>
        <v>0</v>
      </c>
      <c r="AS506">
        <f t="shared" si="99"/>
        <v>0</v>
      </c>
      <c r="AT506">
        <f t="shared" si="110"/>
        <v>250155.11224442557</v>
      </c>
      <c r="AU506">
        <f t="shared" si="111"/>
        <v>279999.99999999988</v>
      </c>
    </row>
    <row r="507" spans="27:47" ht="14.4">
      <c r="AA507">
        <f t="shared" si="100"/>
        <v>499</v>
      </c>
      <c r="AB507">
        <f t="shared" si="101"/>
        <v>0</v>
      </c>
      <c r="AC507">
        <f t="shared" si="102"/>
        <v>0</v>
      </c>
      <c r="AD507">
        <f t="shared" si="103"/>
        <v>0</v>
      </c>
      <c r="AE507">
        <f t="shared" si="98"/>
        <v>0</v>
      </c>
      <c r="AF507">
        <f t="shared" si="104"/>
        <v>531059.59788034181</v>
      </c>
      <c r="AG507">
        <f t="shared" si="105"/>
        <v>280000</v>
      </c>
      <c r="AO507">
        <f t="shared" si="106"/>
        <v>499</v>
      </c>
      <c r="AP507">
        <f t="shared" si="107"/>
        <v>0</v>
      </c>
      <c r="AQ507">
        <f t="shared" si="108"/>
        <v>0</v>
      </c>
      <c r="AR507">
        <f t="shared" si="109"/>
        <v>0</v>
      </c>
      <c r="AS507">
        <f t="shared" si="99"/>
        <v>0</v>
      </c>
      <c r="AT507">
        <f t="shared" si="110"/>
        <v>250155.11224442557</v>
      </c>
      <c r="AU507">
        <f t="shared" si="111"/>
        <v>279999.99999999988</v>
      </c>
    </row>
    <row r="508" spans="27:47" ht="14.4">
      <c r="AA508">
        <f t="shared" si="100"/>
        <v>500</v>
      </c>
      <c r="AB508">
        <f t="shared" si="101"/>
        <v>0</v>
      </c>
      <c r="AC508">
        <f t="shared" si="102"/>
        <v>0</v>
      </c>
      <c r="AD508">
        <f t="shared" si="103"/>
        <v>0</v>
      </c>
      <c r="AE508">
        <f t="shared" si="98"/>
        <v>0</v>
      </c>
      <c r="AF508">
        <f t="shared" si="104"/>
        <v>531059.59788034181</v>
      </c>
      <c r="AG508">
        <f t="shared" si="105"/>
        <v>280000</v>
      </c>
      <c r="AO508">
        <f t="shared" si="106"/>
        <v>500</v>
      </c>
      <c r="AP508">
        <f t="shared" si="107"/>
        <v>0</v>
      </c>
      <c r="AQ508">
        <f t="shared" si="108"/>
        <v>0</v>
      </c>
      <c r="AR508">
        <f t="shared" si="109"/>
        <v>0</v>
      </c>
      <c r="AS508">
        <f t="shared" si="99"/>
        <v>0</v>
      </c>
      <c r="AT508">
        <f t="shared" si="110"/>
        <v>250155.11224442557</v>
      </c>
      <c r="AU508">
        <f t="shared" si="111"/>
        <v>279999.99999999988</v>
      </c>
    </row>
    <row r="509" spans="27:47" ht="14.4">
      <c r="AA509">
        <f t="shared" si="100"/>
        <v>501</v>
      </c>
      <c r="AB509">
        <f t="shared" si="101"/>
        <v>0</v>
      </c>
      <c r="AC509">
        <f t="shared" si="102"/>
        <v>0</v>
      </c>
      <c r="AD509">
        <f t="shared" si="103"/>
        <v>0</v>
      </c>
      <c r="AE509">
        <f t="shared" si="98"/>
        <v>0</v>
      </c>
      <c r="AF509">
        <f t="shared" si="104"/>
        <v>531059.59788034181</v>
      </c>
      <c r="AG509">
        <f t="shared" si="105"/>
        <v>280000</v>
      </c>
      <c r="AO509">
        <f t="shared" si="106"/>
        <v>501</v>
      </c>
      <c r="AP509">
        <f t="shared" si="107"/>
        <v>0</v>
      </c>
      <c r="AQ509">
        <f t="shared" si="108"/>
        <v>0</v>
      </c>
      <c r="AR509">
        <f t="shared" si="109"/>
        <v>0</v>
      </c>
      <c r="AS509">
        <f t="shared" si="99"/>
        <v>0</v>
      </c>
      <c r="AT509">
        <f t="shared" si="110"/>
        <v>250155.11224442557</v>
      </c>
      <c r="AU509">
        <f t="shared" si="111"/>
        <v>279999.99999999988</v>
      </c>
    </row>
    <row r="510" spans="27:47" ht="14.4">
      <c r="AA510">
        <f t="shared" si="100"/>
        <v>502</v>
      </c>
      <c r="AB510">
        <f t="shared" si="101"/>
        <v>0</v>
      </c>
      <c r="AC510">
        <f t="shared" si="102"/>
        <v>0</v>
      </c>
      <c r="AD510">
        <f t="shared" si="103"/>
        <v>0</v>
      </c>
      <c r="AE510">
        <f t="shared" si="98"/>
        <v>0</v>
      </c>
      <c r="AF510">
        <f t="shared" si="104"/>
        <v>531059.59788034181</v>
      </c>
      <c r="AG510">
        <f t="shared" si="105"/>
        <v>280000</v>
      </c>
      <c r="AO510">
        <f t="shared" si="106"/>
        <v>502</v>
      </c>
      <c r="AP510">
        <f t="shared" si="107"/>
        <v>0</v>
      </c>
      <c r="AQ510">
        <f t="shared" si="108"/>
        <v>0</v>
      </c>
      <c r="AR510">
        <f t="shared" si="109"/>
        <v>0</v>
      </c>
      <c r="AS510">
        <f t="shared" si="99"/>
        <v>0</v>
      </c>
      <c r="AT510">
        <f t="shared" si="110"/>
        <v>250155.11224442557</v>
      </c>
      <c r="AU510">
        <f t="shared" si="111"/>
        <v>279999.99999999988</v>
      </c>
    </row>
    <row r="511" spans="27:47" ht="14.4">
      <c r="AA511">
        <f t="shared" si="100"/>
        <v>503</v>
      </c>
      <c r="AB511">
        <f t="shared" si="101"/>
        <v>0</v>
      </c>
      <c r="AC511">
        <f t="shared" si="102"/>
        <v>0</v>
      </c>
      <c r="AD511">
        <f t="shared" si="103"/>
        <v>0</v>
      </c>
      <c r="AE511">
        <f t="shared" si="98"/>
        <v>0</v>
      </c>
      <c r="AF511">
        <f t="shared" si="104"/>
        <v>531059.59788034181</v>
      </c>
      <c r="AG511">
        <f t="shared" si="105"/>
        <v>280000</v>
      </c>
      <c r="AO511">
        <f t="shared" si="106"/>
        <v>503</v>
      </c>
      <c r="AP511">
        <f t="shared" si="107"/>
        <v>0</v>
      </c>
      <c r="AQ511">
        <f t="shared" si="108"/>
        <v>0</v>
      </c>
      <c r="AR511">
        <f t="shared" si="109"/>
        <v>0</v>
      </c>
      <c r="AS511">
        <f t="shared" si="99"/>
        <v>0</v>
      </c>
      <c r="AT511">
        <f t="shared" si="110"/>
        <v>250155.11224442557</v>
      </c>
      <c r="AU511">
        <f t="shared" si="111"/>
        <v>279999.99999999988</v>
      </c>
    </row>
    <row r="512" spans="27:47" ht="14.4">
      <c r="AA512">
        <f t="shared" si="100"/>
        <v>504</v>
      </c>
      <c r="AB512">
        <f t="shared" si="101"/>
        <v>0</v>
      </c>
      <c r="AC512">
        <f t="shared" si="102"/>
        <v>0</v>
      </c>
      <c r="AD512">
        <f t="shared" si="103"/>
        <v>0</v>
      </c>
      <c r="AE512">
        <f t="shared" si="98"/>
        <v>0</v>
      </c>
      <c r="AF512">
        <f t="shared" si="104"/>
        <v>531059.59788034181</v>
      </c>
      <c r="AG512">
        <f t="shared" si="105"/>
        <v>280000</v>
      </c>
      <c r="AO512">
        <f t="shared" si="106"/>
        <v>504</v>
      </c>
      <c r="AP512">
        <f t="shared" si="107"/>
        <v>0</v>
      </c>
      <c r="AQ512">
        <f t="shared" si="108"/>
        <v>0</v>
      </c>
      <c r="AR512">
        <f t="shared" si="109"/>
        <v>0</v>
      </c>
      <c r="AS512">
        <f t="shared" si="99"/>
        <v>0</v>
      </c>
      <c r="AT512">
        <f t="shared" si="110"/>
        <v>250155.11224442557</v>
      </c>
      <c r="AU512">
        <f t="shared" si="111"/>
        <v>279999.99999999988</v>
      </c>
    </row>
    <row r="513" spans="27:47" ht="14.4">
      <c r="AA513">
        <f t="shared" si="100"/>
        <v>505</v>
      </c>
      <c r="AB513">
        <f t="shared" si="101"/>
        <v>0</v>
      </c>
      <c r="AC513">
        <f t="shared" si="102"/>
        <v>0</v>
      </c>
      <c r="AD513">
        <f t="shared" si="103"/>
        <v>0</v>
      </c>
      <c r="AE513">
        <f t="shared" si="98"/>
        <v>0</v>
      </c>
      <c r="AF513">
        <f t="shared" si="104"/>
        <v>531059.59788034181</v>
      </c>
      <c r="AG513">
        <f t="shared" si="105"/>
        <v>280000</v>
      </c>
      <c r="AO513">
        <f t="shared" si="106"/>
        <v>505</v>
      </c>
      <c r="AP513">
        <f t="shared" si="107"/>
        <v>0</v>
      </c>
      <c r="AQ513">
        <f t="shared" si="108"/>
        <v>0</v>
      </c>
      <c r="AR513">
        <f t="shared" si="109"/>
        <v>0</v>
      </c>
      <c r="AS513">
        <f t="shared" si="99"/>
        <v>0</v>
      </c>
      <c r="AT513">
        <f t="shared" si="110"/>
        <v>250155.11224442557</v>
      </c>
      <c r="AU513">
        <f t="shared" si="111"/>
        <v>279999.99999999988</v>
      </c>
    </row>
    <row r="514" spans="27:47" ht="14.4">
      <c r="AA514">
        <f t="shared" si="100"/>
        <v>506</v>
      </c>
      <c r="AB514">
        <f t="shared" si="101"/>
        <v>0</v>
      </c>
      <c r="AC514">
        <f t="shared" si="102"/>
        <v>0</v>
      </c>
      <c r="AD514">
        <f t="shared" si="103"/>
        <v>0</v>
      </c>
      <c r="AE514">
        <f t="shared" si="98"/>
        <v>0</v>
      </c>
      <c r="AF514">
        <f t="shared" si="104"/>
        <v>531059.59788034181</v>
      </c>
      <c r="AG514">
        <f t="shared" si="105"/>
        <v>280000</v>
      </c>
      <c r="AO514">
        <f t="shared" si="106"/>
        <v>506</v>
      </c>
      <c r="AP514">
        <f t="shared" si="107"/>
        <v>0</v>
      </c>
      <c r="AQ514">
        <f t="shared" si="108"/>
        <v>0</v>
      </c>
      <c r="AR514">
        <f t="shared" si="109"/>
        <v>0</v>
      </c>
      <c r="AS514">
        <f t="shared" si="99"/>
        <v>0</v>
      </c>
      <c r="AT514">
        <f t="shared" si="110"/>
        <v>250155.11224442557</v>
      </c>
      <c r="AU514">
        <f t="shared" si="111"/>
        <v>279999.99999999988</v>
      </c>
    </row>
    <row r="515" spans="27:47" ht="14.4">
      <c r="AA515">
        <f t="shared" si="100"/>
        <v>507</v>
      </c>
      <c r="AB515">
        <f t="shared" si="101"/>
        <v>0</v>
      </c>
      <c r="AC515">
        <f t="shared" si="102"/>
        <v>0</v>
      </c>
      <c r="AD515">
        <f t="shared" si="103"/>
        <v>0</v>
      </c>
      <c r="AE515">
        <f t="shared" si="98"/>
        <v>0</v>
      </c>
      <c r="AF515">
        <f t="shared" si="104"/>
        <v>531059.59788034181</v>
      </c>
      <c r="AG515">
        <f t="shared" si="105"/>
        <v>280000</v>
      </c>
      <c r="AO515">
        <f t="shared" si="106"/>
        <v>507</v>
      </c>
      <c r="AP515">
        <f t="shared" si="107"/>
        <v>0</v>
      </c>
      <c r="AQ515">
        <f t="shared" si="108"/>
        <v>0</v>
      </c>
      <c r="AR515">
        <f t="shared" si="109"/>
        <v>0</v>
      </c>
      <c r="AS515">
        <f t="shared" si="99"/>
        <v>0</v>
      </c>
      <c r="AT515">
        <f t="shared" si="110"/>
        <v>250155.11224442557</v>
      </c>
      <c r="AU515">
        <f t="shared" si="111"/>
        <v>279999.99999999988</v>
      </c>
    </row>
    <row r="516" spans="27:47" ht="14.4">
      <c r="AA516">
        <f t="shared" si="100"/>
        <v>508</v>
      </c>
      <c r="AB516">
        <f t="shared" si="101"/>
        <v>0</v>
      </c>
      <c r="AC516">
        <f t="shared" si="102"/>
        <v>0</v>
      </c>
      <c r="AD516">
        <f t="shared" si="103"/>
        <v>0</v>
      </c>
      <c r="AE516">
        <f t="shared" si="98"/>
        <v>0</v>
      </c>
      <c r="AF516">
        <f t="shared" si="104"/>
        <v>531059.59788034181</v>
      </c>
      <c r="AG516">
        <f t="shared" si="105"/>
        <v>280000</v>
      </c>
      <c r="AO516">
        <f t="shared" si="106"/>
        <v>508</v>
      </c>
      <c r="AP516">
        <f t="shared" si="107"/>
        <v>0</v>
      </c>
      <c r="AQ516">
        <f t="shared" si="108"/>
        <v>0</v>
      </c>
      <c r="AR516">
        <f t="shared" si="109"/>
        <v>0</v>
      </c>
      <c r="AS516">
        <f t="shared" si="99"/>
        <v>0</v>
      </c>
      <c r="AT516">
        <f t="shared" si="110"/>
        <v>250155.11224442557</v>
      </c>
      <c r="AU516">
        <f t="shared" si="111"/>
        <v>279999.99999999988</v>
      </c>
    </row>
    <row r="517" spans="27:47" ht="14.4">
      <c r="AA517">
        <f t="shared" si="100"/>
        <v>509</v>
      </c>
      <c r="AB517">
        <f t="shared" si="101"/>
        <v>0</v>
      </c>
      <c r="AC517">
        <f t="shared" si="102"/>
        <v>0</v>
      </c>
      <c r="AD517">
        <f t="shared" si="103"/>
        <v>0</v>
      </c>
      <c r="AE517">
        <f t="shared" si="98"/>
        <v>0</v>
      </c>
      <c r="AF517">
        <f t="shared" si="104"/>
        <v>531059.59788034181</v>
      </c>
      <c r="AG517">
        <f t="shared" si="105"/>
        <v>280000</v>
      </c>
      <c r="AO517">
        <f t="shared" si="106"/>
        <v>509</v>
      </c>
      <c r="AP517">
        <f t="shared" si="107"/>
        <v>0</v>
      </c>
      <c r="AQ517">
        <f t="shared" si="108"/>
        <v>0</v>
      </c>
      <c r="AR517">
        <f t="shared" si="109"/>
        <v>0</v>
      </c>
      <c r="AS517">
        <f t="shared" si="99"/>
        <v>0</v>
      </c>
      <c r="AT517">
        <f t="shared" si="110"/>
        <v>250155.11224442557</v>
      </c>
      <c r="AU517">
        <f t="shared" si="111"/>
        <v>279999.99999999988</v>
      </c>
    </row>
    <row r="518" spans="27:47" ht="14.4">
      <c r="AA518">
        <f t="shared" si="100"/>
        <v>510</v>
      </c>
      <c r="AB518">
        <f t="shared" si="101"/>
        <v>0</v>
      </c>
      <c r="AC518">
        <f t="shared" si="102"/>
        <v>0</v>
      </c>
      <c r="AD518">
        <f t="shared" si="103"/>
        <v>0</v>
      </c>
      <c r="AE518">
        <f t="shared" si="98"/>
        <v>0</v>
      </c>
      <c r="AF518">
        <f t="shared" si="104"/>
        <v>531059.59788034181</v>
      </c>
      <c r="AG518">
        <f t="shared" si="105"/>
        <v>280000</v>
      </c>
      <c r="AO518">
        <f t="shared" si="106"/>
        <v>510</v>
      </c>
      <c r="AP518">
        <f t="shared" si="107"/>
        <v>0</v>
      </c>
      <c r="AQ518">
        <f t="shared" si="108"/>
        <v>0</v>
      </c>
      <c r="AR518">
        <f t="shared" si="109"/>
        <v>0</v>
      </c>
      <c r="AS518">
        <f t="shared" si="99"/>
        <v>0</v>
      </c>
      <c r="AT518">
        <f t="shared" si="110"/>
        <v>250155.11224442557</v>
      </c>
      <c r="AU518">
        <f t="shared" si="111"/>
        <v>279999.99999999988</v>
      </c>
    </row>
    <row r="519" spans="27:47" ht="14.4">
      <c r="AA519">
        <f t="shared" si="100"/>
        <v>511</v>
      </c>
      <c r="AB519">
        <f t="shared" si="101"/>
        <v>0</v>
      </c>
      <c r="AC519">
        <f t="shared" si="102"/>
        <v>0</v>
      </c>
      <c r="AD519">
        <f t="shared" si="103"/>
        <v>0</v>
      </c>
      <c r="AE519">
        <f t="shared" si="98"/>
        <v>0</v>
      </c>
      <c r="AF519">
        <f t="shared" si="104"/>
        <v>531059.59788034181</v>
      </c>
      <c r="AG519">
        <f t="shared" si="105"/>
        <v>280000</v>
      </c>
      <c r="AO519">
        <f t="shared" si="106"/>
        <v>511</v>
      </c>
      <c r="AP519">
        <f t="shared" si="107"/>
        <v>0</v>
      </c>
      <c r="AQ519">
        <f t="shared" si="108"/>
        <v>0</v>
      </c>
      <c r="AR519">
        <f t="shared" si="109"/>
        <v>0</v>
      </c>
      <c r="AS519">
        <f t="shared" si="99"/>
        <v>0</v>
      </c>
      <c r="AT519">
        <f t="shared" si="110"/>
        <v>250155.11224442557</v>
      </c>
      <c r="AU519">
        <f t="shared" si="111"/>
        <v>279999.99999999988</v>
      </c>
    </row>
    <row r="520" spans="27:47" ht="14.4">
      <c r="AA520">
        <f t="shared" si="100"/>
        <v>512</v>
      </c>
      <c r="AB520">
        <f t="shared" si="101"/>
        <v>0</v>
      </c>
      <c r="AC520">
        <f t="shared" si="102"/>
        <v>0</v>
      </c>
      <c r="AD520">
        <f t="shared" si="103"/>
        <v>0</v>
      </c>
      <c r="AE520">
        <f t="shared" si="98"/>
        <v>0</v>
      </c>
      <c r="AF520">
        <f t="shared" si="104"/>
        <v>531059.59788034181</v>
      </c>
      <c r="AG520">
        <f t="shared" si="105"/>
        <v>280000</v>
      </c>
      <c r="AO520">
        <f t="shared" si="106"/>
        <v>512</v>
      </c>
      <c r="AP520">
        <f t="shared" si="107"/>
        <v>0</v>
      </c>
      <c r="AQ520">
        <f t="shared" si="108"/>
        <v>0</v>
      </c>
      <c r="AR520">
        <f t="shared" si="109"/>
        <v>0</v>
      </c>
      <c r="AS520">
        <f t="shared" si="99"/>
        <v>0</v>
      </c>
      <c r="AT520">
        <f t="shared" si="110"/>
        <v>250155.11224442557</v>
      </c>
      <c r="AU520">
        <f t="shared" si="111"/>
        <v>279999.99999999988</v>
      </c>
    </row>
    <row r="521" spans="27:47" ht="14.4">
      <c r="AA521">
        <f t="shared" si="100"/>
        <v>513</v>
      </c>
      <c r="AB521">
        <f t="shared" si="101"/>
        <v>0</v>
      </c>
      <c r="AC521">
        <f t="shared" si="102"/>
        <v>0</v>
      </c>
      <c r="AD521">
        <f t="shared" si="103"/>
        <v>0</v>
      </c>
      <c r="AE521">
        <f t="shared" ref="AE521:AE584" si="112">MAX(0,AD521-AC521)</f>
        <v>0</v>
      </c>
      <c r="AF521">
        <f t="shared" si="104"/>
        <v>531059.59788034181</v>
      </c>
      <c r="AG521">
        <f t="shared" si="105"/>
        <v>280000</v>
      </c>
      <c r="AO521">
        <f t="shared" si="106"/>
        <v>513</v>
      </c>
      <c r="AP521">
        <f t="shared" si="107"/>
        <v>0</v>
      </c>
      <c r="AQ521">
        <f t="shared" si="108"/>
        <v>0</v>
      </c>
      <c r="AR521">
        <f t="shared" si="109"/>
        <v>0</v>
      </c>
      <c r="AS521">
        <f t="shared" ref="AS521:AS584" si="113">MAX(0,AR521-AQ521)</f>
        <v>0</v>
      </c>
      <c r="AT521">
        <f t="shared" si="110"/>
        <v>250155.11224442557</v>
      </c>
      <c r="AU521">
        <f t="shared" si="111"/>
        <v>279999.99999999988</v>
      </c>
    </row>
    <row r="522" spans="27:47" ht="14.4">
      <c r="AA522">
        <f t="shared" ref="AA522:AA585" si="114">AA521+1</f>
        <v>514</v>
      </c>
      <c r="AB522">
        <f t="shared" ref="AB522:AB585" si="115">MAX(0,AB521-AE522)</f>
        <v>0</v>
      </c>
      <c r="AC522">
        <f t="shared" ref="AC522:AC585" si="116">IF(AB521&lt;=0,0,AB521*$AA$6)</f>
        <v>0</v>
      </c>
      <c r="AD522">
        <f t="shared" ref="AD522:AD585" si="117">IF(AB521&lt;=0,0,MIN($AC$6,AB521+AC522))</f>
        <v>0</v>
      </c>
      <c r="AE522">
        <f t="shared" si="112"/>
        <v>0</v>
      </c>
      <c r="AF522">
        <f t="shared" ref="AF522:AF585" si="118">AF521+AC522</f>
        <v>531059.59788034181</v>
      </c>
      <c r="AG522">
        <f t="shared" ref="AG522:AG585" si="119">AG521+AE522</f>
        <v>280000</v>
      </c>
      <c r="AO522">
        <f t="shared" ref="AO522:AO585" si="120">AO521+1</f>
        <v>514</v>
      </c>
      <c r="AP522">
        <f t="shared" ref="AP522:AP585" si="121">MAX(0,AP521-AS522)</f>
        <v>0</v>
      </c>
      <c r="AQ522">
        <f t="shared" ref="AQ522:AQ585" si="122">IF(AP521&lt;=0,0,AP521*$AA$6)</f>
        <v>0</v>
      </c>
      <c r="AR522">
        <f t="shared" ref="AR522:AR585" si="123">IF(AP521&lt;=0,0,MIN($AD$6,AP521+AQ522))</f>
        <v>0</v>
      </c>
      <c r="AS522">
        <f t="shared" si="113"/>
        <v>0</v>
      </c>
      <c r="AT522">
        <f t="shared" ref="AT522:AT585" si="124">AT521+AQ522</f>
        <v>250155.11224442557</v>
      </c>
      <c r="AU522">
        <f t="shared" ref="AU522:AU585" si="125">AU521+AS522</f>
        <v>279999.99999999988</v>
      </c>
    </row>
    <row r="523" spans="27:47" ht="14.4">
      <c r="AA523">
        <f t="shared" si="114"/>
        <v>515</v>
      </c>
      <c r="AB523">
        <f t="shared" si="115"/>
        <v>0</v>
      </c>
      <c r="AC523">
        <f t="shared" si="116"/>
        <v>0</v>
      </c>
      <c r="AD523">
        <f t="shared" si="117"/>
        <v>0</v>
      </c>
      <c r="AE523">
        <f t="shared" si="112"/>
        <v>0</v>
      </c>
      <c r="AF523">
        <f t="shared" si="118"/>
        <v>531059.59788034181</v>
      </c>
      <c r="AG523">
        <f t="shared" si="119"/>
        <v>280000</v>
      </c>
      <c r="AO523">
        <f t="shared" si="120"/>
        <v>515</v>
      </c>
      <c r="AP523">
        <f t="shared" si="121"/>
        <v>0</v>
      </c>
      <c r="AQ523">
        <f t="shared" si="122"/>
        <v>0</v>
      </c>
      <c r="AR523">
        <f t="shared" si="123"/>
        <v>0</v>
      </c>
      <c r="AS523">
        <f t="shared" si="113"/>
        <v>0</v>
      </c>
      <c r="AT523">
        <f t="shared" si="124"/>
        <v>250155.11224442557</v>
      </c>
      <c r="AU523">
        <f t="shared" si="125"/>
        <v>279999.99999999988</v>
      </c>
    </row>
    <row r="524" spans="27:47" ht="14.4">
      <c r="AA524">
        <f t="shared" si="114"/>
        <v>516</v>
      </c>
      <c r="AB524">
        <f t="shared" si="115"/>
        <v>0</v>
      </c>
      <c r="AC524">
        <f t="shared" si="116"/>
        <v>0</v>
      </c>
      <c r="AD524">
        <f t="shared" si="117"/>
        <v>0</v>
      </c>
      <c r="AE524">
        <f t="shared" si="112"/>
        <v>0</v>
      </c>
      <c r="AF524">
        <f t="shared" si="118"/>
        <v>531059.59788034181</v>
      </c>
      <c r="AG524">
        <f t="shared" si="119"/>
        <v>280000</v>
      </c>
      <c r="AO524">
        <f t="shared" si="120"/>
        <v>516</v>
      </c>
      <c r="AP524">
        <f t="shared" si="121"/>
        <v>0</v>
      </c>
      <c r="AQ524">
        <f t="shared" si="122"/>
        <v>0</v>
      </c>
      <c r="AR524">
        <f t="shared" si="123"/>
        <v>0</v>
      </c>
      <c r="AS524">
        <f t="shared" si="113"/>
        <v>0</v>
      </c>
      <c r="AT524">
        <f t="shared" si="124"/>
        <v>250155.11224442557</v>
      </c>
      <c r="AU524">
        <f t="shared" si="125"/>
        <v>279999.99999999988</v>
      </c>
    </row>
    <row r="525" spans="27:47" ht="14.4">
      <c r="AA525">
        <f t="shared" si="114"/>
        <v>517</v>
      </c>
      <c r="AB525">
        <f t="shared" si="115"/>
        <v>0</v>
      </c>
      <c r="AC525">
        <f t="shared" si="116"/>
        <v>0</v>
      </c>
      <c r="AD525">
        <f t="shared" si="117"/>
        <v>0</v>
      </c>
      <c r="AE525">
        <f t="shared" si="112"/>
        <v>0</v>
      </c>
      <c r="AF525">
        <f t="shared" si="118"/>
        <v>531059.59788034181</v>
      </c>
      <c r="AG525">
        <f t="shared" si="119"/>
        <v>280000</v>
      </c>
      <c r="AO525">
        <f t="shared" si="120"/>
        <v>517</v>
      </c>
      <c r="AP525">
        <f t="shared" si="121"/>
        <v>0</v>
      </c>
      <c r="AQ525">
        <f t="shared" si="122"/>
        <v>0</v>
      </c>
      <c r="AR525">
        <f t="shared" si="123"/>
        <v>0</v>
      </c>
      <c r="AS525">
        <f t="shared" si="113"/>
        <v>0</v>
      </c>
      <c r="AT525">
        <f t="shared" si="124"/>
        <v>250155.11224442557</v>
      </c>
      <c r="AU525">
        <f t="shared" si="125"/>
        <v>279999.99999999988</v>
      </c>
    </row>
    <row r="526" spans="27:47" ht="14.4">
      <c r="AA526">
        <f t="shared" si="114"/>
        <v>518</v>
      </c>
      <c r="AB526">
        <f t="shared" si="115"/>
        <v>0</v>
      </c>
      <c r="AC526">
        <f t="shared" si="116"/>
        <v>0</v>
      </c>
      <c r="AD526">
        <f t="shared" si="117"/>
        <v>0</v>
      </c>
      <c r="AE526">
        <f t="shared" si="112"/>
        <v>0</v>
      </c>
      <c r="AF526">
        <f t="shared" si="118"/>
        <v>531059.59788034181</v>
      </c>
      <c r="AG526">
        <f t="shared" si="119"/>
        <v>280000</v>
      </c>
      <c r="AO526">
        <f t="shared" si="120"/>
        <v>518</v>
      </c>
      <c r="AP526">
        <f t="shared" si="121"/>
        <v>0</v>
      </c>
      <c r="AQ526">
        <f t="shared" si="122"/>
        <v>0</v>
      </c>
      <c r="AR526">
        <f t="shared" si="123"/>
        <v>0</v>
      </c>
      <c r="AS526">
        <f t="shared" si="113"/>
        <v>0</v>
      </c>
      <c r="AT526">
        <f t="shared" si="124"/>
        <v>250155.11224442557</v>
      </c>
      <c r="AU526">
        <f t="shared" si="125"/>
        <v>279999.99999999988</v>
      </c>
    </row>
    <row r="527" spans="27:47" ht="14.4">
      <c r="AA527">
        <f t="shared" si="114"/>
        <v>519</v>
      </c>
      <c r="AB527">
        <f t="shared" si="115"/>
        <v>0</v>
      </c>
      <c r="AC527">
        <f t="shared" si="116"/>
        <v>0</v>
      </c>
      <c r="AD527">
        <f t="shared" si="117"/>
        <v>0</v>
      </c>
      <c r="AE527">
        <f t="shared" si="112"/>
        <v>0</v>
      </c>
      <c r="AF527">
        <f t="shared" si="118"/>
        <v>531059.59788034181</v>
      </c>
      <c r="AG527">
        <f t="shared" si="119"/>
        <v>280000</v>
      </c>
      <c r="AO527">
        <f t="shared" si="120"/>
        <v>519</v>
      </c>
      <c r="AP527">
        <f t="shared" si="121"/>
        <v>0</v>
      </c>
      <c r="AQ527">
        <f t="shared" si="122"/>
        <v>0</v>
      </c>
      <c r="AR527">
        <f t="shared" si="123"/>
        <v>0</v>
      </c>
      <c r="AS527">
        <f t="shared" si="113"/>
        <v>0</v>
      </c>
      <c r="AT527">
        <f t="shared" si="124"/>
        <v>250155.11224442557</v>
      </c>
      <c r="AU527">
        <f t="shared" si="125"/>
        <v>279999.99999999988</v>
      </c>
    </row>
    <row r="528" spans="27:47" ht="14.4">
      <c r="AA528">
        <f t="shared" si="114"/>
        <v>520</v>
      </c>
      <c r="AB528">
        <f t="shared" si="115"/>
        <v>0</v>
      </c>
      <c r="AC528">
        <f t="shared" si="116"/>
        <v>0</v>
      </c>
      <c r="AD528">
        <f t="shared" si="117"/>
        <v>0</v>
      </c>
      <c r="AE528">
        <f t="shared" si="112"/>
        <v>0</v>
      </c>
      <c r="AF528">
        <f t="shared" si="118"/>
        <v>531059.59788034181</v>
      </c>
      <c r="AG528">
        <f t="shared" si="119"/>
        <v>280000</v>
      </c>
      <c r="AO528">
        <f t="shared" si="120"/>
        <v>520</v>
      </c>
      <c r="AP528">
        <f t="shared" si="121"/>
        <v>0</v>
      </c>
      <c r="AQ528">
        <f t="shared" si="122"/>
        <v>0</v>
      </c>
      <c r="AR528">
        <f t="shared" si="123"/>
        <v>0</v>
      </c>
      <c r="AS528">
        <f t="shared" si="113"/>
        <v>0</v>
      </c>
      <c r="AT528">
        <f t="shared" si="124"/>
        <v>250155.11224442557</v>
      </c>
      <c r="AU528">
        <f t="shared" si="125"/>
        <v>279999.99999999988</v>
      </c>
    </row>
    <row r="529" spans="27:47" ht="14.4">
      <c r="AA529">
        <f t="shared" si="114"/>
        <v>521</v>
      </c>
      <c r="AB529">
        <f t="shared" si="115"/>
        <v>0</v>
      </c>
      <c r="AC529">
        <f t="shared" si="116"/>
        <v>0</v>
      </c>
      <c r="AD529">
        <f t="shared" si="117"/>
        <v>0</v>
      </c>
      <c r="AE529">
        <f t="shared" si="112"/>
        <v>0</v>
      </c>
      <c r="AF529">
        <f t="shared" si="118"/>
        <v>531059.59788034181</v>
      </c>
      <c r="AG529">
        <f t="shared" si="119"/>
        <v>280000</v>
      </c>
      <c r="AO529">
        <f t="shared" si="120"/>
        <v>521</v>
      </c>
      <c r="AP529">
        <f t="shared" si="121"/>
        <v>0</v>
      </c>
      <c r="AQ529">
        <f t="shared" si="122"/>
        <v>0</v>
      </c>
      <c r="AR529">
        <f t="shared" si="123"/>
        <v>0</v>
      </c>
      <c r="AS529">
        <f t="shared" si="113"/>
        <v>0</v>
      </c>
      <c r="AT529">
        <f t="shared" si="124"/>
        <v>250155.11224442557</v>
      </c>
      <c r="AU529">
        <f t="shared" si="125"/>
        <v>279999.99999999988</v>
      </c>
    </row>
    <row r="530" spans="27:47" ht="14.4">
      <c r="AA530">
        <f t="shared" si="114"/>
        <v>522</v>
      </c>
      <c r="AB530">
        <f t="shared" si="115"/>
        <v>0</v>
      </c>
      <c r="AC530">
        <f t="shared" si="116"/>
        <v>0</v>
      </c>
      <c r="AD530">
        <f t="shared" si="117"/>
        <v>0</v>
      </c>
      <c r="AE530">
        <f t="shared" si="112"/>
        <v>0</v>
      </c>
      <c r="AF530">
        <f t="shared" si="118"/>
        <v>531059.59788034181</v>
      </c>
      <c r="AG530">
        <f t="shared" si="119"/>
        <v>280000</v>
      </c>
      <c r="AO530">
        <f t="shared" si="120"/>
        <v>522</v>
      </c>
      <c r="AP530">
        <f t="shared" si="121"/>
        <v>0</v>
      </c>
      <c r="AQ530">
        <f t="shared" si="122"/>
        <v>0</v>
      </c>
      <c r="AR530">
        <f t="shared" si="123"/>
        <v>0</v>
      </c>
      <c r="AS530">
        <f t="shared" si="113"/>
        <v>0</v>
      </c>
      <c r="AT530">
        <f t="shared" si="124"/>
        <v>250155.11224442557</v>
      </c>
      <c r="AU530">
        <f t="shared" si="125"/>
        <v>279999.99999999988</v>
      </c>
    </row>
    <row r="531" spans="27:47" ht="14.4">
      <c r="AA531">
        <f t="shared" si="114"/>
        <v>523</v>
      </c>
      <c r="AB531">
        <f t="shared" si="115"/>
        <v>0</v>
      </c>
      <c r="AC531">
        <f t="shared" si="116"/>
        <v>0</v>
      </c>
      <c r="AD531">
        <f t="shared" si="117"/>
        <v>0</v>
      </c>
      <c r="AE531">
        <f t="shared" si="112"/>
        <v>0</v>
      </c>
      <c r="AF531">
        <f t="shared" si="118"/>
        <v>531059.59788034181</v>
      </c>
      <c r="AG531">
        <f t="shared" si="119"/>
        <v>280000</v>
      </c>
      <c r="AO531">
        <f t="shared" si="120"/>
        <v>523</v>
      </c>
      <c r="AP531">
        <f t="shared" si="121"/>
        <v>0</v>
      </c>
      <c r="AQ531">
        <f t="shared" si="122"/>
        <v>0</v>
      </c>
      <c r="AR531">
        <f t="shared" si="123"/>
        <v>0</v>
      </c>
      <c r="AS531">
        <f t="shared" si="113"/>
        <v>0</v>
      </c>
      <c r="AT531">
        <f t="shared" si="124"/>
        <v>250155.11224442557</v>
      </c>
      <c r="AU531">
        <f t="shared" si="125"/>
        <v>279999.99999999988</v>
      </c>
    </row>
    <row r="532" spans="27:47" ht="14.4">
      <c r="AA532">
        <f t="shared" si="114"/>
        <v>524</v>
      </c>
      <c r="AB532">
        <f t="shared" si="115"/>
        <v>0</v>
      </c>
      <c r="AC532">
        <f t="shared" si="116"/>
        <v>0</v>
      </c>
      <c r="AD532">
        <f t="shared" si="117"/>
        <v>0</v>
      </c>
      <c r="AE532">
        <f t="shared" si="112"/>
        <v>0</v>
      </c>
      <c r="AF532">
        <f t="shared" si="118"/>
        <v>531059.59788034181</v>
      </c>
      <c r="AG532">
        <f t="shared" si="119"/>
        <v>280000</v>
      </c>
      <c r="AO532">
        <f t="shared" si="120"/>
        <v>524</v>
      </c>
      <c r="AP532">
        <f t="shared" si="121"/>
        <v>0</v>
      </c>
      <c r="AQ532">
        <f t="shared" si="122"/>
        <v>0</v>
      </c>
      <c r="AR532">
        <f t="shared" si="123"/>
        <v>0</v>
      </c>
      <c r="AS532">
        <f t="shared" si="113"/>
        <v>0</v>
      </c>
      <c r="AT532">
        <f t="shared" si="124"/>
        <v>250155.11224442557</v>
      </c>
      <c r="AU532">
        <f t="shared" si="125"/>
        <v>279999.99999999988</v>
      </c>
    </row>
    <row r="533" spans="27:47" ht="14.4">
      <c r="AA533">
        <f t="shared" si="114"/>
        <v>525</v>
      </c>
      <c r="AB533">
        <f t="shared" si="115"/>
        <v>0</v>
      </c>
      <c r="AC533">
        <f t="shared" si="116"/>
        <v>0</v>
      </c>
      <c r="AD533">
        <f t="shared" si="117"/>
        <v>0</v>
      </c>
      <c r="AE533">
        <f t="shared" si="112"/>
        <v>0</v>
      </c>
      <c r="AF533">
        <f t="shared" si="118"/>
        <v>531059.59788034181</v>
      </c>
      <c r="AG533">
        <f t="shared" si="119"/>
        <v>280000</v>
      </c>
      <c r="AO533">
        <f t="shared" si="120"/>
        <v>525</v>
      </c>
      <c r="AP533">
        <f t="shared" si="121"/>
        <v>0</v>
      </c>
      <c r="AQ533">
        <f t="shared" si="122"/>
        <v>0</v>
      </c>
      <c r="AR533">
        <f t="shared" si="123"/>
        <v>0</v>
      </c>
      <c r="AS533">
        <f t="shared" si="113"/>
        <v>0</v>
      </c>
      <c r="AT533">
        <f t="shared" si="124"/>
        <v>250155.11224442557</v>
      </c>
      <c r="AU533">
        <f t="shared" si="125"/>
        <v>279999.99999999988</v>
      </c>
    </row>
    <row r="534" spans="27:47" ht="14.4">
      <c r="AA534">
        <f t="shared" si="114"/>
        <v>526</v>
      </c>
      <c r="AB534">
        <f t="shared" si="115"/>
        <v>0</v>
      </c>
      <c r="AC534">
        <f t="shared" si="116"/>
        <v>0</v>
      </c>
      <c r="AD534">
        <f t="shared" si="117"/>
        <v>0</v>
      </c>
      <c r="AE534">
        <f t="shared" si="112"/>
        <v>0</v>
      </c>
      <c r="AF534">
        <f t="shared" si="118"/>
        <v>531059.59788034181</v>
      </c>
      <c r="AG534">
        <f t="shared" si="119"/>
        <v>280000</v>
      </c>
      <c r="AO534">
        <f t="shared" si="120"/>
        <v>526</v>
      </c>
      <c r="AP534">
        <f t="shared" si="121"/>
        <v>0</v>
      </c>
      <c r="AQ534">
        <f t="shared" si="122"/>
        <v>0</v>
      </c>
      <c r="AR534">
        <f t="shared" si="123"/>
        <v>0</v>
      </c>
      <c r="AS534">
        <f t="shared" si="113"/>
        <v>0</v>
      </c>
      <c r="AT534">
        <f t="shared" si="124"/>
        <v>250155.11224442557</v>
      </c>
      <c r="AU534">
        <f t="shared" si="125"/>
        <v>279999.99999999988</v>
      </c>
    </row>
    <row r="535" spans="27:47" ht="14.4">
      <c r="AA535">
        <f t="shared" si="114"/>
        <v>527</v>
      </c>
      <c r="AB535">
        <f t="shared" si="115"/>
        <v>0</v>
      </c>
      <c r="AC535">
        <f t="shared" si="116"/>
        <v>0</v>
      </c>
      <c r="AD535">
        <f t="shared" si="117"/>
        <v>0</v>
      </c>
      <c r="AE535">
        <f t="shared" si="112"/>
        <v>0</v>
      </c>
      <c r="AF535">
        <f t="shared" si="118"/>
        <v>531059.59788034181</v>
      </c>
      <c r="AG535">
        <f t="shared" si="119"/>
        <v>280000</v>
      </c>
      <c r="AO535">
        <f t="shared" si="120"/>
        <v>527</v>
      </c>
      <c r="AP535">
        <f t="shared" si="121"/>
        <v>0</v>
      </c>
      <c r="AQ535">
        <f t="shared" si="122"/>
        <v>0</v>
      </c>
      <c r="AR535">
        <f t="shared" si="123"/>
        <v>0</v>
      </c>
      <c r="AS535">
        <f t="shared" si="113"/>
        <v>0</v>
      </c>
      <c r="AT535">
        <f t="shared" si="124"/>
        <v>250155.11224442557</v>
      </c>
      <c r="AU535">
        <f t="shared" si="125"/>
        <v>279999.99999999988</v>
      </c>
    </row>
    <row r="536" spans="27:47" ht="14.4">
      <c r="AA536">
        <f t="shared" si="114"/>
        <v>528</v>
      </c>
      <c r="AB536">
        <f t="shared" si="115"/>
        <v>0</v>
      </c>
      <c r="AC536">
        <f t="shared" si="116"/>
        <v>0</v>
      </c>
      <c r="AD536">
        <f t="shared" si="117"/>
        <v>0</v>
      </c>
      <c r="AE536">
        <f t="shared" si="112"/>
        <v>0</v>
      </c>
      <c r="AF536">
        <f t="shared" si="118"/>
        <v>531059.59788034181</v>
      </c>
      <c r="AG536">
        <f t="shared" si="119"/>
        <v>280000</v>
      </c>
      <c r="AO536">
        <f t="shared" si="120"/>
        <v>528</v>
      </c>
      <c r="AP536">
        <f t="shared" si="121"/>
        <v>0</v>
      </c>
      <c r="AQ536">
        <f t="shared" si="122"/>
        <v>0</v>
      </c>
      <c r="AR536">
        <f t="shared" si="123"/>
        <v>0</v>
      </c>
      <c r="AS536">
        <f t="shared" si="113"/>
        <v>0</v>
      </c>
      <c r="AT536">
        <f t="shared" si="124"/>
        <v>250155.11224442557</v>
      </c>
      <c r="AU536">
        <f t="shared" si="125"/>
        <v>279999.99999999988</v>
      </c>
    </row>
    <row r="537" spans="27:47" ht="14.4">
      <c r="AA537">
        <f t="shared" si="114"/>
        <v>529</v>
      </c>
      <c r="AB537">
        <f t="shared" si="115"/>
        <v>0</v>
      </c>
      <c r="AC537">
        <f t="shared" si="116"/>
        <v>0</v>
      </c>
      <c r="AD537">
        <f t="shared" si="117"/>
        <v>0</v>
      </c>
      <c r="AE537">
        <f t="shared" si="112"/>
        <v>0</v>
      </c>
      <c r="AF537">
        <f t="shared" si="118"/>
        <v>531059.59788034181</v>
      </c>
      <c r="AG537">
        <f t="shared" si="119"/>
        <v>280000</v>
      </c>
      <c r="AO537">
        <f t="shared" si="120"/>
        <v>529</v>
      </c>
      <c r="AP537">
        <f t="shared" si="121"/>
        <v>0</v>
      </c>
      <c r="AQ537">
        <f t="shared" si="122"/>
        <v>0</v>
      </c>
      <c r="AR537">
        <f t="shared" si="123"/>
        <v>0</v>
      </c>
      <c r="AS537">
        <f t="shared" si="113"/>
        <v>0</v>
      </c>
      <c r="AT537">
        <f t="shared" si="124"/>
        <v>250155.11224442557</v>
      </c>
      <c r="AU537">
        <f t="shared" si="125"/>
        <v>279999.99999999988</v>
      </c>
    </row>
    <row r="538" spans="27:47" ht="14.4">
      <c r="AA538">
        <f t="shared" si="114"/>
        <v>530</v>
      </c>
      <c r="AB538">
        <f t="shared" si="115"/>
        <v>0</v>
      </c>
      <c r="AC538">
        <f t="shared" si="116"/>
        <v>0</v>
      </c>
      <c r="AD538">
        <f t="shared" si="117"/>
        <v>0</v>
      </c>
      <c r="AE538">
        <f t="shared" si="112"/>
        <v>0</v>
      </c>
      <c r="AF538">
        <f t="shared" si="118"/>
        <v>531059.59788034181</v>
      </c>
      <c r="AG538">
        <f t="shared" si="119"/>
        <v>280000</v>
      </c>
      <c r="AO538">
        <f t="shared" si="120"/>
        <v>530</v>
      </c>
      <c r="AP538">
        <f t="shared" si="121"/>
        <v>0</v>
      </c>
      <c r="AQ538">
        <f t="shared" si="122"/>
        <v>0</v>
      </c>
      <c r="AR538">
        <f t="shared" si="123"/>
        <v>0</v>
      </c>
      <c r="AS538">
        <f t="shared" si="113"/>
        <v>0</v>
      </c>
      <c r="AT538">
        <f t="shared" si="124"/>
        <v>250155.11224442557</v>
      </c>
      <c r="AU538">
        <f t="shared" si="125"/>
        <v>279999.99999999988</v>
      </c>
    </row>
    <row r="539" spans="27:47" ht="14.4">
      <c r="AA539">
        <f t="shared" si="114"/>
        <v>531</v>
      </c>
      <c r="AB539">
        <f t="shared" si="115"/>
        <v>0</v>
      </c>
      <c r="AC539">
        <f t="shared" si="116"/>
        <v>0</v>
      </c>
      <c r="AD539">
        <f t="shared" si="117"/>
        <v>0</v>
      </c>
      <c r="AE539">
        <f t="shared" si="112"/>
        <v>0</v>
      </c>
      <c r="AF539">
        <f t="shared" si="118"/>
        <v>531059.59788034181</v>
      </c>
      <c r="AG539">
        <f t="shared" si="119"/>
        <v>280000</v>
      </c>
      <c r="AO539">
        <f t="shared" si="120"/>
        <v>531</v>
      </c>
      <c r="AP539">
        <f t="shared" si="121"/>
        <v>0</v>
      </c>
      <c r="AQ539">
        <f t="shared" si="122"/>
        <v>0</v>
      </c>
      <c r="AR539">
        <f t="shared" si="123"/>
        <v>0</v>
      </c>
      <c r="AS539">
        <f t="shared" si="113"/>
        <v>0</v>
      </c>
      <c r="AT539">
        <f t="shared" si="124"/>
        <v>250155.11224442557</v>
      </c>
      <c r="AU539">
        <f t="shared" si="125"/>
        <v>279999.99999999988</v>
      </c>
    </row>
    <row r="540" spans="27:47" ht="14.4">
      <c r="AA540">
        <f t="shared" si="114"/>
        <v>532</v>
      </c>
      <c r="AB540">
        <f t="shared" si="115"/>
        <v>0</v>
      </c>
      <c r="AC540">
        <f t="shared" si="116"/>
        <v>0</v>
      </c>
      <c r="AD540">
        <f t="shared" si="117"/>
        <v>0</v>
      </c>
      <c r="AE540">
        <f t="shared" si="112"/>
        <v>0</v>
      </c>
      <c r="AF540">
        <f t="shared" si="118"/>
        <v>531059.59788034181</v>
      </c>
      <c r="AG540">
        <f t="shared" si="119"/>
        <v>280000</v>
      </c>
      <c r="AO540">
        <f t="shared" si="120"/>
        <v>532</v>
      </c>
      <c r="AP540">
        <f t="shared" si="121"/>
        <v>0</v>
      </c>
      <c r="AQ540">
        <f t="shared" si="122"/>
        <v>0</v>
      </c>
      <c r="AR540">
        <f t="shared" si="123"/>
        <v>0</v>
      </c>
      <c r="AS540">
        <f t="shared" si="113"/>
        <v>0</v>
      </c>
      <c r="AT540">
        <f t="shared" si="124"/>
        <v>250155.11224442557</v>
      </c>
      <c r="AU540">
        <f t="shared" si="125"/>
        <v>279999.99999999988</v>
      </c>
    </row>
    <row r="541" spans="27:47" ht="14.4">
      <c r="AA541">
        <f t="shared" si="114"/>
        <v>533</v>
      </c>
      <c r="AB541">
        <f t="shared" si="115"/>
        <v>0</v>
      </c>
      <c r="AC541">
        <f t="shared" si="116"/>
        <v>0</v>
      </c>
      <c r="AD541">
        <f t="shared" si="117"/>
        <v>0</v>
      </c>
      <c r="AE541">
        <f t="shared" si="112"/>
        <v>0</v>
      </c>
      <c r="AF541">
        <f t="shared" si="118"/>
        <v>531059.59788034181</v>
      </c>
      <c r="AG541">
        <f t="shared" si="119"/>
        <v>280000</v>
      </c>
      <c r="AO541">
        <f t="shared" si="120"/>
        <v>533</v>
      </c>
      <c r="AP541">
        <f t="shared" si="121"/>
        <v>0</v>
      </c>
      <c r="AQ541">
        <f t="shared" si="122"/>
        <v>0</v>
      </c>
      <c r="AR541">
        <f t="shared" si="123"/>
        <v>0</v>
      </c>
      <c r="AS541">
        <f t="shared" si="113"/>
        <v>0</v>
      </c>
      <c r="AT541">
        <f t="shared" si="124"/>
        <v>250155.11224442557</v>
      </c>
      <c r="AU541">
        <f t="shared" si="125"/>
        <v>279999.99999999988</v>
      </c>
    </row>
    <row r="542" spans="27:47" ht="14.4">
      <c r="AA542">
        <f t="shared" si="114"/>
        <v>534</v>
      </c>
      <c r="AB542">
        <f t="shared" si="115"/>
        <v>0</v>
      </c>
      <c r="AC542">
        <f t="shared" si="116"/>
        <v>0</v>
      </c>
      <c r="AD542">
        <f t="shared" si="117"/>
        <v>0</v>
      </c>
      <c r="AE542">
        <f t="shared" si="112"/>
        <v>0</v>
      </c>
      <c r="AF542">
        <f t="shared" si="118"/>
        <v>531059.59788034181</v>
      </c>
      <c r="AG542">
        <f t="shared" si="119"/>
        <v>280000</v>
      </c>
      <c r="AO542">
        <f t="shared" si="120"/>
        <v>534</v>
      </c>
      <c r="AP542">
        <f t="shared" si="121"/>
        <v>0</v>
      </c>
      <c r="AQ542">
        <f t="shared" si="122"/>
        <v>0</v>
      </c>
      <c r="AR542">
        <f t="shared" si="123"/>
        <v>0</v>
      </c>
      <c r="AS542">
        <f t="shared" si="113"/>
        <v>0</v>
      </c>
      <c r="AT542">
        <f t="shared" si="124"/>
        <v>250155.11224442557</v>
      </c>
      <c r="AU542">
        <f t="shared" si="125"/>
        <v>279999.99999999988</v>
      </c>
    </row>
    <row r="543" spans="27:47" ht="14.4">
      <c r="AA543">
        <f t="shared" si="114"/>
        <v>535</v>
      </c>
      <c r="AB543">
        <f t="shared" si="115"/>
        <v>0</v>
      </c>
      <c r="AC543">
        <f t="shared" si="116"/>
        <v>0</v>
      </c>
      <c r="AD543">
        <f t="shared" si="117"/>
        <v>0</v>
      </c>
      <c r="AE543">
        <f t="shared" si="112"/>
        <v>0</v>
      </c>
      <c r="AF543">
        <f t="shared" si="118"/>
        <v>531059.59788034181</v>
      </c>
      <c r="AG543">
        <f t="shared" si="119"/>
        <v>280000</v>
      </c>
      <c r="AO543">
        <f t="shared" si="120"/>
        <v>535</v>
      </c>
      <c r="AP543">
        <f t="shared" si="121"/>
        <v>0</v>
      </c>
      <c r="AQ543">
        <f t="shared" si="122"/>
        <v>0</v>
      </c>
      <c r="AR543">
        <f t="shared" si="123"/>
        <v>0</v>
      </c>
      <c r="AS543">
        <f t="shared" si="113"/>
        <v>0</v>
      </c>
      <c r="AT543">
        <f t="shared" si="124"/>
        <v>250155.11224442557</v>
      </c>
      <c r="AU543">
        <f t="shared" si="125"/>
        <v>279999.99999999988</v>
      </c>
    </row>
    <row r="544" spans="27:47" ht="14.4">
      <c r="AA544">
        <f t="shared" si="114"/>
        <v>536</v>
      </c>
      <c r="AB544">
        <f t="shared" si="115"/>
        <v>0</v>
      </c>
      <c r="AC544">
        <f t="shared" si="116"/>
        <v>0</v>
      </c>
      <c r="AD544">
        <f t="shared" si="117"/>
        <v>0</v>
      </c>
      <c r="AE544">
        <f t="shared" si="112"/>
        <v>0</v>
      </c>
      <c r="AF544">
        <f t="shared" si="118"/>
        <v>531059.59788034181</v>
      </c>
      <c r="AG544">
        <f t="shared" si="119"/>
        <v>280000</v>
      </c>
      <c r="AO544">
        <f t="shared" si="120"/>
        <v>536</v>
      </c>
      <c r="AP544">
        <f t="shared" si="121"/>
        <v>0</v>
      </c>
      <c r="AQ544">
        <f t="shared" si="122"/>
        <v>0</v>
      </c>
      <c r="AR544">
        <f t="shared" si="123"/>
        <v>0</v>
      </c>
      <c r="AS544">
        <f t="shared" si="113"/>
        <v>0</v>
      </c>
      <c r="AT544">
        <f t="shared" si="124"/>
        <v>250155.11224442557</v>
      </c>
      <c r="AU544">
        <f t="shared" si="125"/>
        <v>279999.99999999988</v>
      </c>
    </row>
    <row r="545" spans="27:47" ht="14.4">
      <c r="AA545">
        <f t="shared" si="114"/>
        <v>537</v>
      </c>
      <c r="AB545">
        <f t="shared" si="115"/>
        <v>0</v>
      </c>
      <c r="AC545">
        <f t="shared" si="116"/>
        <v>0</v>
      </c>
      <c r="AD545">
        <f t="shared" si="117"/>
        <v>0</v>
      </c>
      <c r="AE545">
        <f t="shared" si="112"/>
        <v>0</v>
      </c>
      <c r="AF545">
        <f t="shared" si="118"/>
        <v>531059.59788034181</v>
      </c>
      <c r="AG545">
        <f t="shared" si="119"/>
        <v>280000</v>
      </c>
      <c r="AO545">
        <f t="shared" si="120"/>
        <v>537</v>
      </c>
      <c r="AP545">
        <f t="shared" si="121"/>
        <v>0</v>
      </c>
      <c r="AQ545">
        <f t="shared" si="122"/>
        <v>0</v>
      </c>
      <c r="AR545">
        <f t="shared" si="123"/>
        <v>0</v>
      </c>
      <c r="AS545">
        <f t="shared" si="113"/>
        <v>0</v>
      </c>
      <c r="AT545">
        <f t="shared" si="124"/>
        <v>250155.11224442557</v>
      </c>
      <c r="AU545">
        <f t="shared" si="125"/>
        <v>279999.99999999988</v>
      </c>
    </row>
    <row r="546" spans="27:47" ht="14.4">
      <c r="AA546">
        <f t="shared" si="114"/>
        <v>538</v>
      </c>
      <c r="AB546">
        <f t="shared" si="115"/>
        <v>0</v>
      </c>
      <c r="AC546">
        <f t="shared" si="116"/>
        <v>0</v>
      </c>
      <c r="AD546">
        <f t="shared" si="117"/>
        <v>0</v>
      </c>
      <c r="AE546">
        <f t="shared" si="112"/>
        <v>0</v>
      </c>
      <c r="AF546">
        <f t="shared" si="118"/>
        <v>531059.59788034181</v>
      </c>
      <c r="AG546">
        <f t="shared" si="119"/>
        <v>280000</v>
      </c>
      <c r="AO546">
        <f t="shared" si="120"/>
        <v>538</v>
      </c>
      <c r="AP546">
        <f t="shared" si="121"/>
        <v>0</v>
      </c>
      <c r="AQ546">
        <f t="shared" si="122"/>
        <v>0</v>
      </c>
      <c r="AR546">
        <f t="shared" si="123"/>
        <v>0</v>
      </c>
      <c r="AS546">
        <f t="shared" si="113"/>
        <v>0</v>
      </c>
      <c r="AT546">
        <f t="shared" si="124"/>
        <v>250155.11224442557</v>
      </c>
      <c r="AU546">
        <f t="shared" si="125"/>
        <v>279999.99999999988</v>
      </c>
    </row>
    <row r="547" spans="27:47" ht="14.4">
      <c r="AA547">
        <f t="shared" si="114"/>
        <v>539</v>
      </c>
      <c r="AB547">
        <f t="shared" si="115"/>
        <v>0</v>
      </c>
      <c r="AC547">
        <f t="shared" si="116"/>
        <v>0</v>
      </c>
      <c r="AD547">
        <f t="shared" si="117"/>
        <v>0</v>
      </c>
      <c r="AE547">
        <f t="shared" si="112"/>
        <v>0</v>
      </c>
      <c r="AF547">
        <f t="shared" si="118"/>
        <v>531059.59788034181</v>
      </c>
      <c r="AG547">
        <f t="shared" si="119"/>
        <v>280000</v>
      </c>
      <c r="AO547">
        <f t="shared" si="120"/>
        <v>539</v>
      </c>
      <c r="AP547">
        <f t="shared" si="121"/>
        <v>0</v>
      </c>
      <c r="AQ547">
        <f t="shared" si="122"/>
        <v>0</v>
      </c>
      <c r="AR547">
        <f t="shared" si="123"/>
        <v>0</v>
      </c>
      <c r="AS547">
        <f t="shared" si="113"/>
        <v>0</v>
      </c>
      <c r="AT547">
        <f t="shared" si="124"/>
        <v>250155.11224442557</v>
      </c>
      <c r="AU547">
        <f t="shared" si="125"/>
        <v>279999.99999999988</v>
      </c>
    </row>
    <row r="548" spans="27:47" ht="14.4">
      <c r="AA548">
        <f t="shared" si="114"/>
        <v>540</v>
      </c>
      <c r="AB548">
        <f t="shared" si="115"/>
        <v>0</v>
      </c>
      <c r="AC548">
        <f t="shared" si="116"/>
        <v>0</v>
      </c>
      <c r="AD548">
        <f t="shared" si="117"/>
        <v>0</v>
      </c>
      <c r="AE548">
        <f t="shared" si="112"/>
        <v>0</v>
      </c>
      <c r="AF548">
        <f t="shared" si="118"/>
        <v>531059.59788034181</v>
      </c>
      <c r="AG548">
        <f t="shared" si="119"/>
        <v>280000</v>
      </c>
      <c r="AO548">
        <f t="shared" si="120"/>
        <v>540</v>
      </c>
      <c r="AP548">
        <f t="shared" si="121"/>
        <v>0</v>
      </c>
      <c r="AQ548">
        <f t="shared" si="122"/>
        <v>0</v>
      </c>
      <c r="AR548">
        <f t="shared" si="123"/>
        <v>0</v>
      </c>
      <c r="AS548">
        <f t="shared" si="113"/>
        <v>0</v>
      </c>
      <c r="AT548">
        <f t="shared" si="124"/>
        <v>250155.11224442557</v>
      </c>
      <c r="AU548">
        <f t="shared" si="125"/>
        <v>279999.99999999988</v>
      </c>
    </row>
    <row r="549" spans="27:47" ht="14.4">
      <c r="AA549">
        <f t="shared" si="114"/>
        <v>541</v>
      </c>
      <c r="AB549">
        <f t="shared" si="115"/>
        <v>0</v>
      </c>
      <c r="AC549">
        <f t="shared" si="116"/>
        <v>0</v>
      </c>
      <c r="AD549">
        <f t="shared" si="117"/>
        <v>0</v>
      </c>
      <c r="AE549">
        <f t="shared" si="112"/>
        <v>0</v>
      </c>
      <c r="AF549">
        <f t="shared" si="118"/>
        <v>531059.59788034181</v>
      </c>
      <c r="AG549">
        <f t="shared" si="119"/>
        <v>280000</v>
      </c>
      <c r="AO549">
        <f t="shared" si="120"/>
        <v>541</v>
      </c>
      <c r="AP549">
        <f t="shared" si="121"/>
        <v>0</v>
      </c>
      <c r="AQ549">
        <f t="shared" si="122"/>
        <v>0</v>
      </c>
      <c r="AR549">
        <f t="shared" si="123"/>
        <v>0</v>
      </c>
      <c r="AS549">
        <f t="shared" si="113"/>
        <v>0</v>
      </c>
      <c r="AT549">
        <f t="shared" si="124"/>
        <v>250155.11224442557</v>
      </c>
      <c r="AU549">
        <f t="shared" si="125"/>
        <v>279999.99999999988</v>
      </c>
    </row>
    <row r="550" spans="27:47" ht="14.4">
      <c r="AA550">
        <f t="shared" si="114"/>
        <v>542</v>
      </c>
      <c r="AB550">
        <f t="shared" si="115"/>
        <v>0</v>
      </c>
      <c r="AC550">
        <f t="shared" si="116"/>
        <v>0</v>
      </c>
      <c r="AD550">
        <f t="shared" si="117"/>
        <v>0</v>
      </c>
      <c r="AE550">
        <f t="shared" si="112"/>
        <v>0</v>
      </c>
      <c r="AF550">
        <f t="shared" si="118"/>
        <v>531059.59788034181</v>
      </c>
      <c r="AG550">
        <f t="shared" si="119"/>
        <v>280000</v>
      </c>
      <c r="AO550">
        <f t="shared" si="120"/>
        <v>542</v>
      </c>
      <c r="AP550">
        <f t="shared" si="121"/>
        <v>0</v>
      </c>
      <c r="AQ550">
        <f t="shared" si="122"/>
        <v>0</v>
      </c>
      <c r="AR550">
        <f t="shared" si="123"/>
        <v>0</v>
      </c>
      <c r="AS550">
        <f t="shared" si="113"/>
        <v>0</v>
      </c>
      <c r="AT550">
        <f t="shared" si="124"/>
        <v>250155.11224442557</v>
      </c>
      <c r="AU550">
        <f t="shared" si="125"/>
        <v>279999.99999999988</v>
      </c>
    </row>
    <row r="551" spans="27:47" ht="14.4">
      <c r="AA551">
        <f t="shared" si="114"/>
        <v>543</v>
      </c>
      <c r="AB551">
        <f t="shared" si="115"/>
        <v>0</v>
      </c>
      <c r="AC551">
        <f t="shared" si="116"/>
        <v>0</v>
      </c>
      <c r="AD551">
        <f t="shared" si="117"/>
        <v>0</v>
      </c>
      <c r="AE551">
        <f t="shared" si="112"/>
        <v>0</v>
      </c>
      <c r="AF551">
        <f t="shared" si="118"/>
        <v>531059.59788034181</v>
      </c>
      <c r="AG551">
        <f t="shared" si="119"/>
        <v>280000</v>
      </c>
      <c r="AO551">
        <f t="shared" si="120"/>
        <v>543</v>
      </c>
      <c r="AP551">
        <f t="shared" si="121"/>
        <v>0</v>
      </c>
      <c r="AQ551">
        <f t="shared" si="122"/>
        <v>0</v>
      </c>
      <c r="AR551">
        <f t="shared" si="123"/>
        <v>0</v>
      </c>
      <c r="AS551">
        <f t="shared" si="113"/>
        <v>0</v>
      </c>
      <c r="AT551">
        <f t="shared" si="124"/>
        <v>250155.11224442557</v>
      </c>
      <c r="AU551">
        <f t="shared" si="125"/>
        <v>279999.99999999988</v>
      </c>
    </row>
    <row r="552" spans="27:47" ht="14.4">
      <c r="AA552">
        <f t="shared" si="114"/>
        <v>544</v>
      </c>
      <c r="AB552">
        <f t="shared" si="115"/>
        <v>0</v>
      </c>
      <c r="AC552">
        <f t="shared" si="116"/>
        <v>0</v>
      </c>
      <c r="AD552">
        <f t="shared" si="117"/>
        <v>0</v>
      </c>
      <c r="AE552">
        <f t="shared" si="112"/>
        <v>0</v>
      </c>
      <c r="AF552">
        <f t="shared" si="118"/>
        <v>531059.59788034181</v>
      </c>
      <c r="AG552">
        <f t="shared" si="119"/>
        <v>280000</v>
      </c>
      <c r="AO552">
        <f t="shared" si="120"/>
        <v>544</v>
      </c>
      <c r="AP552">
        <f t="shared" si="121"/>
        <v>0</v>
      </c>
      <c r="AQ552">
        <f t="shared" si="122"/>
        <v>0</v>
      </c>
      <c r="AR552">
        <f t="shared" si="123"/>
        <v>0</v>
      </c>
      <c r="AS552">
        <f t="shared" si="113"/>
        <v>0</v>
      </c>
      <c r="AT552">
        <f t="shared" si="124"/>
        <v>250155.11224442557</v>
      </c>
      <c r="AU552">
        <f t="shared" si="125"/>
        <v>279999.99999999988</v>
      </c>
    </row>
    <row r="553" spans="27:47" ht="14.4">
      <c r="AA553">
        <f t="shared" si="114"/>
        <v>545</v>
      </c>
      <c r="AB553">
        <f t="shared" si="115"/>
        <v>0</v>
      </c>
      <c r="AC553">
        <f t="shared" si="116"/>
        <v>0</v>
      </c>
      <c r="AD553">
        <f t="shared" si="117"/>
        <v>0</v>
      </c>
      <c r="AE553">
        <f t="shared" si="112"/>
        <v>0</v>
      </c>
      <c r="AF553">
        <f t="shared" si="118"/>
        <v>531059.59788034181</v>
      </c>
      <c r="AG553">
        <f t="shared" si="119"/>
        <v>280000</v>
      </c>
      <c r="AO553">
        <f t="shared" si="120"/>
        <v>545</v>
      </c>
      <c r="AP553">
        <f t="shared" si="121"/>
        <v>0</v>
      </c>
      <c r="AQ553">
        <f t="shared" si="122"/>
        <v>0</v>
      </c>
      <c r="AR553">
        <f t="shared" si="123"/>
        <v>0</v>
      </c>
      <c r="AS553">
        <f t="shared" si="113"/>
        <v>0</v>
      </c>
      <c r="AT553">
        <f t="shared" si="124"/>
        <v>250155.11224442557</v>
      </c>
      <c r="AU553">
        <f t="shared" si="125"/>
        <v>279999.99999999988</v>
      </c>
    </row>
    <row r="554" spans="27:47" ht="14.4">
      <c r="AA554">
        <f t="shared" si="114"/>
        <v>546</v>
      </c>
      <c r="AB554">
        <f t="shared" si="115"/>
        <v>0</v>
      </c>
      <c r="AC554">
        <f t="shared" si="116"/>
        <v>0</v>
      </c>
      <c r="AD554">
        <f t="shared" si="117"/>
        <v>0</v>
      </c>
      <c r="AE554">
        <f t="shared" si="112"/>
        <v>0</v>
      </c>
      <c r="AF554">
        <f t="shared" si="118"/>
        <v>531059.59788034181</v>
      </c>
      <c r="AG554">
        <f t="shared" si="119"/>
        <v>280000</v>
      </c>
      <c r="AO554">
        <f t="shared" si="120"/>
        <v>546</v>
      </c>
      <c r="AP554">
        <f t="shared" si="121"/>
        <v>0</v>
      </c>
      <c r="AQ554">
        <f t="shared" si="122"/>
        <v>0</v>
      </c>
      <c r="AR554">
        <f t="shared" si="123"/>
        <v>0</v>
      </c>
      <c r="AS554">
        <f t="shared" si="113"/>
        <v>0</v>
      </c>
      <c r="AT554">
        <f t="shared" si="124"/>
        <v>250155.11224442557</v>
      </c>
      <c r="AU554">
        <f t="shared" si="125"/>
        <v>279999.99999999988</v>
      </c>
    </row>
    <row r="555" spans="27:47" ht="14.4">
      <c r="AA555">
        <f t="shared" si="114"/>
        <v>547</v>
      </c>
      <c r="AB555">
        <f t="shared" si="115"/>
        <v>0</v>
      </c>
      <c r="AC555">
        <f t="shared" si="116"/>
        <v>0</v>
      </c>
      <c r="AD555">
        <f t="shared" si="117"/>
        <v>0</v>
      </c>
      <c r="AE555">
        <f t="shared" si="112"/>
        <v>0</v>
      </c>
      <c r="AF555">
        <f t="shared" si="118"/>
        <v>531059.59788034181</v>
      </c>
      <c r="AG555">
        <f t="shared" si="119"/>
        <v>280000</v>
      </c>
      <c r="AO555">
        <f t="shared" si="120"/>
        <v>547</v>
      </c>
      <c r="AP555">
        <f t="shared" si="121"/>
        <v>0</v>
      </c>
      <c r="AQ555">
        <f t="shared" si="122"/>
        <v>0</v>
      </c>
      <c r="AR555">
        <f t="shared" si="123"/>
        <v>0</v>
      </c>
      <c r="AS555">
        <f t="shared" si="113"/>
        <v>0</v>
      </c>
      <c r="AT555">
        <f t="shared" si="124"/>
        <v>250155.11224442557</v>
      </c>
      <c r="AU555">
        <f t="shared" si="125"/>
        <v>279999.99999999988</v>
      </c>
    </row>
    <row r="556" spans="27:47" ht="14.4">
      <c r="AA556">
        <f t="shared" si="114"/>
        <v>548</v>
      </c>
      <c r="AB556">
        <f t="shared" si="115"/>
        <v>0</v>
      </c>
      <c r="AC556">
        <f t="shared" si="116"/>
        <v>0</v>
      </c>
      <c r="AD556">
        <f t="shared" si="117"/>
        <v>0</v>
      </c>
      <c r="AE556">
        <f t="shared" si="112"/>
        <v>0</v>
      </c>
      <c r="AF556">
        <f t="shared" si="118"/>
        <v>531059.59788034181</v>
      </c>
      <c r="AG556">
        <f t="shared" si="119"/>
        <v>280000</v>
      </c>
      <c r="AO556">
        <f t="shared" si="120"/>
        <v>548</v>
      </c>
      <c r="AP556">
        <f t="shared" si="121"/>
        <v>0</v>
      </c>
      <c r="AQ556">
        <f t="shared" si="122"/>
        <v>0</v>
      </c>
      <c r="AR556">
        <f t="shared" si="123"/>
        <v>0</v>
      </c>
      <c r="AS556">
        <f t="shared" si="113"/>
        <v>0</v>
      </c>
      <c r="AT556">
        <f t="shared" si="124"/>
        <v>250155.11224442557</v>
      </c>
      <c r="AU556">
        <f t="shared" si="125"/>
        <v>279999.99999999988</v>
      </c>
    </row>
    <row r="557" spans="27:47" ht="14.4">
      <c r="AA557">
        <f t="shared" si="114"/>
        <v>549</v>
      </c>
      <c r="AB557">
        <f t="shared" si="115"/>
        <v>0</v>
      </c>
      <c r="AC557">
        <f t="shared" si="116"/>
        <v>0</v>
      </c>
      <c r="AD557">
        <f t="shared" si="117"/>
        <v>0</v>
      </c>
      <c r="AE557">
        <f t="shared" si="112"/>
        <v>0</v>
      </c>
      <c r="AF557">
        <f t="shared" si="118"/>
        <v>531059.59788034181</v>
      </c>
      <c r="AG557">
        <f t="shared" si="119"/>
        <v>280000</v>
      </c>
      <c r="AO557">
        <f t="shared" si="120"/>
        <v>549</v>
      </c>
      <c r="AP557">
        <f t="shared" si="121"/>
        <v>0</v>
      </c>
      <c r="AQ557">
        <f t="shared" si="122"/>
        <v>0</v>
      </c>
      <c r="AR557">
        <f t="shared" si="123"/>
        <v>0</v>
      </c>
      <c r="AS557">
        <f t="shared" si="113"/>
        <v>0</v>
      </c>
      <c r="AT557">
        <f t="shared" si="124"/>
        <v>250155.11224442557</v>
      </c>
      <c r="AU557">
        <f t="shared" si="125"/>
        <v>279999.99999999988</v>
      </c>
    </row>
    <row r="558" spans="27:47" ht="14.4">
      <c r="AA558">
        <f t="shared" si="114"/>
        <v>550</v>
      </c>
      <c r="AB558">
        <f t="shared" si="115"/>
        <v>0</v>
      </c>
      <c r="AC558">
        <f t="shared" si="116"/>
        <v>0</v>
      </c>
      <c r="AD558">
        <f t="shared" si="117"/>
        <v>0</v>
      </c>
      <c r="AE558">
        <f t="shared" si="112"/>
        <v>0</v>
      </c>
      <c r="AF558">
        <f t="shared" si="118"/>
        <v>531059.59788034181</v>
      </c>
      <c r="AG558">
        <f t="shared" si="119"/>
        <v>280000</v>
      </c>
      <c r="AO558">
        <f t="shared" si="120"/>
        <v>550</v>
      </c>
      <c r="AP558">
        <f t="shared" si="121"/>
        <v>0</v>
      </c>
      <c r="AQ558">
        <f t="shared" si="122"/>
        <v>0</v>
      </c>
      <c r="AR558">
        <f t="shared" si="123"/>
        <v>0</v>
      </c>
      <c r="AS558">
        <f t="shared" si="113"/>
        <v>0</v>
      </c>
      <c r="AT558">
        <f t="shared" si="124"/>
        <v>250155.11224442557</v>
      </c>
      <c r="AU558">
        <f t="shared" si="125"/>
        <v>279999.99999999988</v>
      </c>
    </row>
    <row r="559" spans="27:47" ht="14.4">
      <c r="AA559">
        <f t="shared" si="114"/>
        <v>551</v>
      </c>
      <c r="AB559">
        <f t="shared" si="115"/>
        <v>0</v>
      </c>
      <c r="AC559">
        <f t="shared" si="116"/>
        <v>0</v>
      </c>
      <c r="AD559">
        <f t="shared" si="117"/>
        <v>0</v>
      </c>
      <c r="AE559">
        <f t="shared" si="112"/>
        <v>0</v>
      </c>
      <c r="AF559">
        <f t="shared" si="118"/>
        <v>531059.59788034181</v>
      </c>
      <c r="AG559">
        <f t="shared" si="119"/>
        <v>280000</v>
      </c>
      <c r="AO559">
        <f t="shared" si="120"/>
        <v>551</v>
      </c>
      <c r="AP559">
        <f t="shared" si="121"/>
        <v>0</v>
      </c>
      <c r="AQ559">
        <f t="shared" si="122"/>
        <v>0</v>
      </c>
      <c r="AR559">
        <f t="shared" si="123"/>
        <v>0</v>
      </c>
      <c r="AS559">
        <f t="shared" si="113"/>
        <v>0</v>
      </c>
      <c r="AT559">
        <f t="shared" si="124"/>
        <v>250155.11224442557</v>
      </c>
      <c r="AU559">
        <f t="shared" si="125"/>
        <v>279999.99999999988</v>
      </c>
    </row>
    <row r="560" spans="27:47" ht="14.4">
      <c r="AA560">
        <f t="shared" si="114"/>
        <v>552</v>
      </c>
      <c r="AB560">
        <f t="shared" si="115"/>
        <v>0</v>
      </c>
      <c r="AC560">
        <f t="shared" si="116"/>
        <v>0</v>
      </c>
      <c r="AD560">
        <f t="shared" si="117"/>
        <v>0</v>
      </c>
      <c r="AE560">
        <f t="shared" si="112"/>
        <v>0</v>
      </c>
      <c r="AF560">
        <f t="shared" si="118"/>
        <v>531059.59788034181</v>
      </c>
      <c r="AG560">
        <f t="shared" si="119"/>
        <v>280000</v>
      </c>
      <c r="AO560">
        <f t="shared" si="120"/>
        <v>552</v>
      </c>
      <c r="AP560">
        <f t="shared" si="121"/>
        <v>0</v>
      </c>
      <c r="AQ560">
        <f t="shared" si="122"/>
        <v>0</v>
      </c>
      <c r="AR560">
        <f t="shared" si="123"/>
        <v>0</v>
      </c>
      <c r="AS560">
        <f t="shared" si="113"/>
        <v>0</v>
      </c>
      <c r="AT560">
        <f t="shared" si="124"/>
        <v>250155.11224442557</v>
      </c>
      <c r="AU560">
        <f t="shared" si="125"/>
        <v>279999.99999999988</v>
      </c>
    </row>
    <row r="561" spans="27:47" ht="14.4">
      <c r="AA561">
        <f t="shared" si="114"/>
        <v>553</v>
      </c>
      <c r="AB561">
        <f t="shared" si="115"/>
        <v>0</v>
      </c>
      <c r="AC561">
        <f t="shared" si="116"/>
        <v>0</v>
      </c>
      <c r="AD561">
        <f t="shared" si="117"/>
        <v>0</v>
      </c>
      <c r="AE561">
        <f t="shared" si="112"/>
        <v>0</v>
      </c>
      <c r="AF561">
        <f t="shared" si="118"/>
        <v>531059.59788034181</v>
      </c>
      <c r="AG561">
        <f t="shared" si="119"/>
        <v>280000</v>
      </c>
      <c r="AO561">
        <f t="shared" si="120"/>
        <v>553</v>
      </c>
      <c r="AP561">
        <f t="shared" si="121"/>
        <v>0</v>
      </c>
      <c r="AQ561">
        <f t="shared" si="122"/>
        <v>0</v>
      </c>
      <c r="AR561">
        <f t="shared" si="123"/>
        <v>0</v>
      </c>
      <c r="AS561">
        <f t="shared" si="113"/>
        <v>0</v>
      </c>
      <c r="AT561">
        <f t="shared" si="124"/>
        <v>250155.11224442557</v>
      </c>
      <c r="AU561">
        <f t="shared" si="125"/>
        <v>279999.99999999988</v>
      </c>
    </row>
    <row r="562" spans="27:47" ht="14.4">
      <c r="AA562">
        <f t="shared" si="114"/>
        <v>554</v>
      </c>
      <c r="AB562">
        <f t="shared" si="115"/>
        <v>0</v>
      </c>
      <c r="AC562">
        <f t="shared" si="116"/>
        <v>0</v>
      </c>
      <c r="AD562">
        <f t="shared" si="117"/>
        <v>0</v>
      </c>
      <c r="AE562">
        <f t="shared" si="112"/>
        <v>0</v>
      </c>
      <c r="AF562">
        <f t="shared" si="118"/>
        <v>531059.59788034181</v>
      </c>
      <c r="AG562">
        <f t="shared" si="119"/>
        <v>280000</v>
      </c>
      <c r="AO562">
        <f t="shared" si="120"/>
        <v>554</v>
      </c>
      <c r="AP562">
        <f t="shared" si="121"/>
        <v>0</v>
      </c>
      <c r="AQ562">
        <f t="shared" si="122"/>
        <v>0</v>
      </c>
      <c r="AR562">
        <f t="shared" si="123"/>
        <v>0</v>
      </c>
      <c r="AS562">
        <f t="shared" si="113"/>
        <v>0</v>
      </c>
      <c r="AT562">
        <f t="shared" si="124"/>
        <v>250155.11224442557</v>
      </c>
      <c r="AU562">
        <f t="shared" si="125"/>
        <v>279999.99999999988</v>
      </c>
    </row>
    <row r="563" spans="27:47" ht="14.4">
      <c r="AA563">
        <f t="shared" si="114"/>
        <v>555</v>
      </c>
      <c r="AB563">
        <f t="shared" si="115"/>
        <v>0</v>
      </c>
      <c r="AC563">
        <f t="shared" si="116"/>
        <v>0</v>
      </c>
      <c r="AD563">
        <f t="shared" si="117"/>
        <v>0</v>
      </c>
      <c r="AE563">
        <f t="shared" si="112"/>
        <v>0</v>
      </c>
      <c r="AF563">
        <f t="shared" si="118"/>
        <v>531059.59788034181</v>
      </c>
      <c r="AG563">
        <f t="shared" si="119"/>
        <v>280000</v>
      </c>
      <c r="AO563">
        <f t="shared" si="120"/>
        <v>555</v>
      </c>
      <c r="AP563">
        <f t="shared" si="121"/>
        <v>0</v>
      </c>
      <c r="AQ563">
        <f t="shared" si="122"/>
        <v>0</v>
      </c>
      <c r="AR563">
        <f t="shared" si="123"/>
        <v>0</v>
      </c>
      <c r="AS563">
        <f t="shared" si="113"/>
        <v>0</v>
      </c>
      <c r="AT563">
        <f t="shared" si="124"/>
        <v>250155.11224442557</v>
      </c>
      <c r="AU563">
        <f t="shared" si="125"/>
        <v>279999.99999999988</v>
      </c>
    </row>
    <row r="564" spans="27:47" ht="14.4">
      <c r="AA564">
        <f t="shared" si="114"/>
        <v>556</v>
      </c>
      <c r="AB564">
        <f t="shared" si="115"/>
        <v>0</v>
      </c>
      <c r="AC564">
        <f t="shared" si="116"/>
        <v>0</v>
      </c>
      <c r="AD564">
        <f t="shared" si="117"/>
        <v>0</v>
      </c>
      <c r="AE564">
        <f t="shared" si="112"/>
        <v>0</v>
      </c>
      <c r="AF564">
        <f t="shared" si="118"/>
        <v>531059.59788034181</v>
      </c>
      <c r="AG564">
        <f t="shared" si="119"/>
        <v>280000</v>
      </c>
      <c r="AO564">
        <f t="shared" si="120"/>
        <v>556</v>
      </c>
      <c r="AP564">
        <f t="shared" si="121"/>
        <v>0</v>
      </c>
      <c r="AQ564">
        <f t="shared" si="122"/>
        <v>0</v>
      </c>
      <c r="AR564">
        <f t="shared" si="123"/>
        <v>0</v>
      </c>
      <c r="AS564">
        <f t="shared" si="113"/>
        <v>0</v>
      </c>
      <c r="AT564">
        <f t="shared" si="124"/>
        <v>250155.11224442557</v>
      </c>
      <c r="AU564">
        <f t="shared" si="125"/>
        <v>279999.99999999988</v>
      </c>
    </row>
    <row r="565" spans="27:47" ht="14.4">
      <c r="AA565">
        <f t="shared" si="114"/>
        <v>557</v>
      </c>
      <c r="AB565">
        <f t="shared" si="115"/>
        <v>0</v>
      </c>
      <c r="AC565">
        <f t="shared" si="116"/>
        <v>0</v>
      </c>
      <c r="AD565">
        <f t="shared" si="117"/>
        <v>0</v>
      </c>
      <c r="AE565">
        <f t="shared" si="112"/>
        <v>0</v>
      </c>
      <c r="AF565">
        <f t="shared" si="118"/>
        <v>531059.59788034181</v>
      </c>
      <c r="AG565">
        <f t="shared" si="119"/>
        <v>280000</v>
      </c>
      <c r="AO565">
        <f t="shared" si="120"/>
        <v>557</v>
      </c>
      <c r="AP565">
        <f t="shared" si="121"/>
        <v>0</v>
      </c>
      <c r="AQ565">
        <f t="shared" si="122"/>
        <v>0</v>
      </c>
      <c r="AR565">
        <f t="shared" si="123"/>
        <v>0</v>
      </c>
      <c r="AS565">
        <f t="shared" si="113"/>
        <v>0</v>
      </c>
      <c r="AT565">
        <f t="shared" si="124"/>
        <v>250155.11224442557</v>
      </c>
      <c r="AU565">
        <f t="shared" si="125"/>
        <v>279999.99999999988</v>
      </c>
    </row>
    <row r="566" spans="27:47" ht="14.4">
      <c r="AA566">
        <f t="shared" si="114"/>
        <v>558</v>
      </c>
      <c r="AB566">
        <f t="shared" si="115"/>
        <v>0</v>
      </c>
      <c r="AC566">
        <f t="shared" si="116"/>
        <v>0</v>
      </c>
      <c r="AD566">
        <f t="shared" si="117"/>
        <v>0</v>
      </c>
      <c r="AE566">
        <f t="shared" si="112"/>
        <v>0</v>
      </c>
      <c r="AF566">
        <f t="shared" si="118"/>
        <v>531059.59788034181</v>
      </c>
      <c r="AG566">
        <f t="shared" si="119"/>
        <v>280000</v>
      </c>
      <c r="AO566">
        <f t="shared" si="120"/>
        <v>558</v>
      </c>
      <c r="AP566">
        <f t="shared" si="121"/>
        <v>0</v>
      </c>
      <c r="AQ566">
        <f t="shared" si="122"/>
        <v>0</v>
      </c>
      <c r="AR566">
        <f t="shared" si="123"/>
        <v>0</v>
      </c>
      <c r="AS566">
        <f t="shared" si="113"/>
        <v>0</v>
      </c>
      <c r="AT566">
        <f t="shared" si="124"/>
        <v>250155.11224442557</v>
      </c>
      <c r="AU566">
        <f t="shared" si="125"/>
        <v>279999.99999999988</v>
      </c>
    </row>
    <row r="567" spans="27:47" ht="14.4">
      <c r="AA567">
        <f t="shared" si="114"/>
        <v>559</v>
      </c>
      <c r="AB567">
        <f t="shared" si="115"/>
        <v>0</v>
      </c>
      <c r="AC567">
        <f t="shared" si="116"/>
        <v>0</v>
      </c>
      <c r="AD567">
        <f t="shared" si="117"/>
        <v>0</v>
      </c>
      <c r="AE567">
        <f t="shared" si="112"/>
        <v>0</v>
      </c>
      <c r="AF567">
        <f t="shared" si="118"/>
        <v>531059.59788034181</v>
      </c>
      <c r="AG567">
        <f t="shared" si="119"/>
        <v>280000</v>
      </c>
      <c r="AO567">
        <f t="shared" si="120"/>
        <v>559</v>
      </c>
      <c r="AP567">
        <f t="shared" si="121"/>
        <v>0</v>
      </c>
      <c r="AQ567">
        <f t="shared" si="122"/>
        <v>0</v>
      </c>
      <c r="AR567">
        <f t="shared" si="123"/>
        <v>0</v>
      </c>
      <c r="AS567">
        <f t="shared" si="113"/>
        <v>0</v>
      </c>
      <c r="AT567">
        <f t="shared" si="124"/>
        <v>250155.11224442557</v>
      </c>
      <c r="AU567">
        <f t="shared" si="125"/>
        <v>279999.99999999988</v>
      </c>
    </row>
    <row r="568" spans="27:47" ht="14.4">
      <c r="AA568">
        <f t="shared" si="114"/>
        <v>560</v>
      </c>
      <c r="AB568">
        <f t="shared" si="115"/>
        <v>0</v>
      </c>
      <c r="AC568">
        <f t="shared" si="116"/>
        <v>0</v>
      </c>
      <c r="AD568">
        <f t="shared" si="117"/>
        <v>0</v>
      </c>
      <c r="AE568">
        <f t="shared" si="112"/>
        <v>0</v>
      </c>
      <c r="AF568">
        <f t="shared" si="118"/>
        <v>531059.59788034181</v>
      </c>
      <c r="AG568">
        <f t="shared" si="119"/>
        <v>280000</v>
      </c>
      <c r="AO568">
        <f t="shared" si="120"/>
        <v>560</v>
      </c>
      <c r="AP568">
        <f t="shared" si="121"/>
        <v>0</v>
      </c>
      <c r="AQ568">
        <f t="shared" si="122"/>
        <v>0</v>
      </c>
      <c r="AR568">
        <f t="shared" si="123"/>
        <v>0</v>
      </c>
      <c r="AS568">
        <f t="shared" si="113"/>
        <v>0</v>
      </c>
      <c r="AT568">
        <f t="shared" si="124"/>
        <v>250155.11224442557</v>
      </c>
      <c r="AU568">
        <f t="shared" si="125"/>
        <v>279999.99999999988</v>
      </c>
    </row>
    <row r="569" spans="27:47" ht="14.4">
      <c r="AA569">
        <f t="shared" si="114"/>
        <v>561</v>
      </c>
      <c r="AB569">
        <f t="shared" si="115"/>
        <v>0</v>
      </c>
      <c r="AC569">
        <f t="shared" si="116"/>
        <v>0</v>
      </c>
      <c r="AD569">
        <f t="shared" si="117"/>
        <v>0</v>
      </c>
      <c r="AE569">
        <f t="shared" si="112"/>
        <v>0</v>
      </c>
      <c r="AF569">
        <f t="shared" si="118"/>
        <v>531059.59788034181</v>
      </c>
      <c r="AG569">
        <f t="shared" si="119"/>
        <v>280000</v>
      </c>
      <c r="AO569">
        <f t="shared" si="120"/>
        <v>561</v>
      </c>
      <c r="AP569">
        <f t="shared" si="121"/>
        <v>0</v>
      </c>
      <c r="AQ569">
        <f t="shared" si="122"/>
        <v>0</v>
      </c>
      <c r="AR569">
        <f t="shared" si="123"/>
        <v>0</v>
      </c>
      <c r="AS569">
        <f t="shared" si="113"/>
        <v>0</v>
      </c>
      <c r="AT569">
        <f t="shared" si="124"/>
        <v>250155.11224442557</v>
      </c>
      <c r="AU569">
        <f t="shared" si="125"/>
        <v>279999.99999999988</v>
      </c>
    </row>
    <row r="570" spans="27:47" ht="14.4">
      <c r="AA570">
        <f t="shared" si="114"/>
        <v>562</v>
      </c>
      <c r="AB570">
        <f t="shared" si="115"/>
        <v>0</v>
      </c>
      <c r="AC570">
        <f t="shared" si="116"/>
        <v>0</v>
      </c>
      <c r="AD570">
        <f t="shared" si="117"/>
        <v>0</v>
      </c>
      <c r="AE570">
        <f t="shared" si="112"/>
        <v>0</v>
      </c>
      <c r="AF570">
        <f t="shared" si="118"/>
        <v>531059.59788034181</v>
      </c>
      <c r="AG570">
        <f t="shared" si="119"/>
        <v>280000</v>
      </c>
      <c r="AO570">
        <f t="shared" si="120"/>
        <v>562</v>
      </c>
      <c r="AP570">
        <f t="shared" si="121"/>
        <v>0</v>
      </c>
      <c r="AQ570">
        <f t="shared" si="122"/>
        <v>0</v>
      </c>
      <c r="AR570">
        <f t="shared" si="123"/>
        <v>0</v>
      </c>
      <c r="AS570">
        <f t="shared" si="113"/>
        <v>0</v>
      </c>
      <c r="AT570">
        <f t="shared" si="124"/>
        <v>250155.11224442557</v>
      </c>
      <c r="AU570">
        <f t="shared" si="125"/>
        <v>279999.99999999988</v>
      </c>
    </row>
    <row r="571" spans="27:47" ht="14.4">
      <c r="AA571">
        <f t="shared" si="114"/>
        <v>563</v>
      </c>
      <c r="AB571">
        <f t="shared" si="115"/>
        <v>0</v>
      </c>
      <c r="AC571">
        <f t="shared" si="116"/>
        <v>0</v>
      </c>
      <c r="AD571">
        <f t="shared" si="117"/>
        <v>0</v>
      </c>
      <c r="AE571">
        <f t="shared" si="112"/>
        <v>0</v>
      </c>
      <c r="AF571">
        <f t="shared" si="118"/>
        <v>531059.59788034181</v>
      </c>
      <c r="AG571">
        <f t="shared" si="119"/>
        <v>280000</v>
      </c>
      <c r="AO571">
        <f t="shared" si="120"/>
        <v>563</v>
      </c>
      <c r="AP571">
        <f t="shared" si="121"/>
        <v>0</v>
      </c>
      <c r="AQ571">
        <f t="shared" si="122"/>
        <v>0</v>
      </c>
      <c r="AR571">
        <f t="shared" si="123"/>
        <v>0</v>
      </c>
      <c r="AS571">
        <f t="shared" si="113"/>
        <v>0</v>
      </c>
      <c r="AT571">
        <f t="shared" si="124"/>
        <v>250155.11224442557</v>
      </c>
      <c r="AU571">
        <f t="shared" si="125"/>
        <v>279999.99999999988</v>
      </c>
    </row>
    <row r="572" spans="27:47" ht="14.4">
      <c r="AA572">
        <f t="shared" si="114"/>
        <v>564</v>
      </c>
      <c r="AB572">
        <f t="shared" si="115"/>
        <v>0</v>
      </c>
      <c r="AC572">
        <f t="shared" si="116"/>
        <v>0</v>
      </c>
      <c r="AD572">
        <f t="shared" si="117"/>
        <v>0</v>
      </c>
      <c r="AE572">
        <f t="shared" si="112"/>
        <v>0</v>
      </c>
      <c r="AF572">
        <f t="shared" si="118"/>
        <v>531059.59788034181</v>
      </c>
      <c r="AG572">
        <f t="shared" si="119"/>
        <v>280000</v>
      </c>
      <c r="AO572">
        <f t="shared" si="120"/>
        <v>564</v>
      </c>
      <c r="AP572">
        <f t="shared" si="121"/>
        <v>0</v>
      </c>
      <c r="AQ572">
        <f t="shared" si="122"/>
        <v>0</v>
      </c>
      <c r="AR572">
        <f t="shared" si="123"/>
        <v>0</v>
      </c>
      <c r="AS572">
        <f t="shared" si="113"/>
        <v>0</v>
      </c>
      <c r="AT572">
        <f t="shared" si="124"/>
        <v>250155.11224442557</v>
      </c>
      <c r="AU572">
        <f t="shared" si="125"/>
        <v>279999.99999999988</v>
      </c>
    </row>
    <row r="573" spans="27:47" ht="14.4">
      <c r="AA573">
        <f t="shared" si="114"/>
        <v>565</v>
      </c>
      <c r="AB573">
        <f t="shared" si="115"/>
        <v>0</v>
      </c>
      <c r="AC573">
        <f t="shared" si="116"/>
        <v>0</v>
      </c>
      <c r="AD573">
        <f t="shared" si="117"/>
        <v>0</v>
      </c>
      <c r="AE573">
        <f t="shared" si="112"/>
        <v>0</v>
      </c>
      <c r="AF573">
        <f t="shared" si="118"/>
        <v>531059.59788034181</v>
      </c>
      <c r="AG573">
        <f t="shared" si="119"/>
        <v>280000</v>
      </c>
      <c r="AO573">
        <f t="shared" si="120"/>
        <v>565</v>
      </c>
      <c r="AP573">
        <f t="shared" si="121"/>
        <v>0</v>
      </c>
      <c r="AQ573">
        <f t="shared" si="122"/>
        <v>0</v>
      </c>
      <c r="AR573">
        <f t="shared" si="123"/>
        <v>0</v>
      </c>
      <c r="AS573">
        <f t="shared" si="113"/>
        <v>0</v>
      </c>
      <c r="AT573">
        <f t="shared" si="124"/>
        <v>250155.11224442557</v>
      </c>
      <c r="AU573">
        <f t="shared" si="125"/>
        <v>279999.99999999988</v>
      </c>
    </row>
    <row r="574" spans="27:47" ht="14.4">
      <c r="AA574">
        <f t="shared" si="114"/>
        <v>566</v>
      </c>
      <c r="AB574">
        <f t="shared" si="115"/>
        <v>0</v>
      </c>
      <c r="AC574">
        <f t="shared" si="116"/>
        <v>0</v>
      </c>
      <c r="AD574">
        <f t="shared" si="117"/>
        <v>0</v>
      </c>
      <c r="AE574">
        <f t="shared" si="112"/>
        <v>0</v>
      </c>
      <c r="AF574">
        <f t="shared" si="118"/>
        <v>531059.59788034181</v>
      </c>
      <c r="AG574">
        <f t="shared" si="119"/>
        <v>280000</v>
      </c>
      <c r="AO574">
        <f t="shared" si="120"/>
        <v>566</v>
      </c>
      <c r="AP574">
        <f t="shared" si="121"/>
        <v>0</v>
      </c>
      <c r="AQ574">
        <f t="shared" si="122"/>
        <v>0</v>
      </c>
      <c r="AR574">
        <f t="shared" si="123"/>
        <v>0</v>
      </c>
      <c r="AS574">
        <f t="shared" si="113"/>
        <v>0</v>
      </c>
      <c r="AT574">
        <f t="shared" si="124"/>
        <v>250155.11224442557</v>
      </c>
      <c r="AU574">
        <f t="shared" si="125"/>
        <v>279999.99999999988</v>
      </c>
    </row>
    <row r="575" spans="27:47" ht="14.4">
      <c r="AA575">
        <f t="shared" si="114"/>
        <v>567</v>
      </c>
      <c r="AB575">
        <f t="shared" si="115"/>
        <v>0</v>
      </c>
      <c r="AC575">
        <f t="shared" si="116"/>
        <v>0</v>
      </c>
      <c r="AD575">
        <f t="shared" si="117"/>
        <v>0</v>
      </c>
      <c r="AE575">
        <f t="shared" si="112"/>
        <v>0</v>
      </c>
      <c r="AF575">
        <f t="shared" si="118"/>
        <v>531059.59788034181</v>
      </c>
      <c r="AG575">
        <f t="shared" si="119"/>
        <v>280000</v>
      </c>
      <c r="AO575">
        <f t="shared" si="120"/>
        <v>567</v>
      </c>
      <c r="AP575">
        <f t="shared" si="121"/>
        <v>0</v>
      </c>
      <c r="AQ575">
        <f t="shared" si="122"/>
        <v>0</v>
      </c>
      <c r="AR575">
        <f t="shared" si="123"/>
        <v>0</v>
      </c>
      <c r="AS575">
        <f t="shared" si="113"/>
        <v>0</v>
      </c>
      <c r="AT575">
        <f t="shared" si="124"/>
        <v>250155.11224442557</v>
      </c>
      <c r="AU575">
        <f t="shared" si="125"/>
        <v>279999.99999999988</v>
      </c>
    </row>
    <row r="576" spans="27:47" ht="14.4">
      <c r="AA576">
        <f t="shared" si="114"/>
        <v>568</v>
      </c>
      <c r="AB576">
        <f t="shared" si="115"/>
        <v>0</v>
      </c>
      <c r="AC576">
        <f t="shared" si="116"/>
        <v>0</v>
      </c>
      <c r="AD576">
        <f t="shared" si="117"/>
        <v>0</v>
      </c>
      <c r="AE576">
        <f t="shared" si="112"/>
        <v>0</v>
      </c>
      <c r="AF576">
        <f t="shared" si="118"/>
        <v>531059.59788034181</v>
      </c>
      <c r="AG576">
        <f t="shared" si="119"/>
        <v>280000</v>
      </c>
      <c r="AO576">
        <f t="shared" si="120"/>
        <v>568</v>
      </c>
      <c r="AP576">
        <f t="shared" si="121"/>
        <v>0</v>
      </c>
      <c r="AQ576">
        <f t="shared" si="122"/>
        <v>0</v>
      </c>
      <c r="AR576">
        <f t="shared" si="123"/>
        <v>0</v>
      </c>
      <c r="AS576">
        <f t="shared" si="113"/>
        <v>0</v>
      </c>
      <c r="AT576">
        <f t="shared" si="124"/>
        <v>250155.11224442557</v>
      </c>
      <c r="AU576">
        <f t="shared" si="125"/>
        <v>279999.99999999988</v>
      </c>
    </row>
    <row r="577" spans="27:47" ht="14.4">
      <c r="AA577">
        <f t="shared" si="114"/>
        <v>569</v>
      </c>
      <c r="AB577">
        <f t="shared" si="115"/>
        <v>0</v>
      </c>
      <c r="AC577">
        <f t="shared" si="116"/>
        <v>0</v>
      </c>
      <c r="AD577">
        <f t="shared" si="117"/>
        <v>0</v>
      </c>
      <c r="AE577">
        <f t="shared" si="112"/>
        <v>0</v>
      </c>
      <c r="AF577">
        <f t="shared" si="118"/>
        <v>531059.59788034181</v>
      </c>
      <c r="AG577">
        <f t="shared" si="119"/>
        <v>280000</v>
      </c>
      <c r="AO577">
        <f t="shared" si="120"/>
        <v>569</v>
      </c>
      <c r="AP577">
        <f t="shared" si="121"/>
        <v>0</v>
      </c>
      <c r="AQ577">
        <f t="shared" si="122"/>
        <v>0</v>
      </c>
      <c r="AR577">
        <f t="shared" si="123"/>
        <v>0</v>
      </c>
      <c r="AS577">
        <f t="shared" si="113"/>
        <v>0</v>
      </c>
      <c r="AT577">
        <f t="shared" si="124"/>
        <v>250155.11224442557</v>
      </c>
      <c r="AU577">
        <f t="shared" si="125"/>
        <v>279999.99999999988</v>
      </c>
    </row>
    <row r="578" spans="27:47" ht="14.4">
      <c r="AA578">
        <f t="shared" si="114"/>
        <v>570</v>
      </c>
      <c r="AB578">
        <f t="shared" si="115"/>
        <v>0</v>
      </c>
      <c r="AC578">
        <f t="shared" si="116"/>
        <v>0</v>
      </c>
      <c r="AD578">
        <f t="shared" si="117"/>
        <v>0</v>
      </c>
      <c r="AE578">
        <f t="shared" si="112"/>
        <v>0</v>
      </c>
      <c r="AF578">
        <f t="shared" si="118"/>
        <v>531059.59788034181</v>
      </c>
      <c r="AG578">
        <f t="shared" si="119"/>
        <v>280000</v>
      </c>
      <c r="AO578">
        <f t="shared" si="120"/>
        <v>570</v>
      </c>
      <c r="AP578">
        <f t="shared" si="121"/>
        <v>0</v>
      </c>
      <c r="AQ578">
        <f t="shared" si="122"/>
        <v>0</v>
      </c>
      <c r="AR578">
        <f t="shared" si="123"/>
        <v>0</v>
      </c>
      <c r="AS578">
        <f t="shared" si="113"/>
        <v>0</v>
      </c>
      <c r="AT578">
        <f t="shared" si="124"/>
        <v>250155.11224442557</v>
      </c>
      <c r="AU578">
        <f t="shared" si="125"/>
        <v>279999.99999999988</v>
      </c>
    </row>
    <row r="579" spans="27:47" ht="14.4">
      <c r="AA579">
        <f t="shared" si="114"/>
        <v>571</v>
      </c>
      <c r="AB579">
        <f t="shared" si="115"/>
        <v>0</v>
      </c>
      <c r="AC579">
        <f t="shared" si="116"/>
        <v>0</v>
      </c>
      <c r="AD579">
        <f t="shared" si="117"/>
        <v>0</v>
      </c>
      <c r="AE579">
        <f t="shared" si="112"/>
        <v>0</v>
      </c>
      <c r="AF579">
        <f t="shared" si="118"/>
        <v>531059.59788034181</v>
      </c>
      <c r="AG579">
        <f t="shared" si="119"/>
        <v>280000</v>
      </c>
      <c r="AO579">
        <f t="shared" si="120"/>
        <v>571</v>
      </c>
      <c r="AP579">
        <f t="shared" si="121"/>
        <v>0</v>
      </c>
      <c r="AQ579">
        <f t="shared" si="122"/>
        <v>0</v>
      </c>
      <c r="AR579">
        <f t="shared" si="123"/>
        <v>0</v>
      </c>
      <c r="AS579">
        <f t="shared" si="113"/>
        <v>0</v>
      </c>
      <c r="AT579">
        <f t="shared" si="124"/>
        <v>250155.11224442557</v>
      </c>
      <c r="AU579">
        <f t="shared" si="125"/>
        <v>279999.99999999988</v>
      </c>
    </row>
    <row r="580" spans="27:47" ht="14.4">
      <c r="AA580">
        <f t="shared" si="114"/>
        <v>572</v>
      </c>
      <c r="AB580">
        <f t="shared" si="115"/>
        <v>0</v>
      </c>
      <c r="AC580">
        <f t="shared" si="116"/>
        <v>0</v>
      </c>
      <c r="AD580">
        <f t="shared" si="117"/>
        <v>0</v>
      </c>
      <c r="AE580">
        <f t="shared" si="112"/>
        <v>0</v>
      </c>
      <c r="AF580">
        <f t="shared" si="118"/>
        <v>531059.59788034181</v>
      </c>
      <c r="AG580">
        <f t="shared" si="119"/>
        <v>280000</v>
      </c>
      <c r="AO580">
        <f t="shared" si="120"/>
        <v>572</v>
      </c>
      <c r="AP580">
        <f t="shared" si="121"/>
        <v>0</v>
      </c>
      <c r="AQ580">
        <f t="shared" si="122"/>
        <v>0</v>
      </c>
      <c r="AR580">
        <f t="shared" si="123"/>
        <v>0</v>
      </c>
      <c r="AS580">
        <f t="shared" si="113"/>
        <v>0</v>
      </c>
      <c r="AT580">
        <f t="shared" si="124"/>
        <v>250155.11224442557</v>
      </c>
      <c r="AU580">
        <f t="shared" si="125"/>
        <v>279999.99999999988</v>
      </c>
    </row>
    <row r="581" spans="27:47" ht="14.4">
      <c r="AA581">
        <f t="shared" si="114"/>
        <v>573</v>
      </c>
      <c r="AB581">
        <f t="shared" si="115"/>
        <v>0</v>
      </c>
      <c r="AC581">
        <f t="shared" si="116"/>
        <v>0</v>
      </c>
      <c r="AD581">
        <f t="shared" si="117"/>
        <v>0</v>
      </c>
      <c r="AE581">
        <f t="shared" si="112"/>
        <v>0</v>
      </c>
      <c r="AF581">
        <f t="shared" si="118"/>
        <v>531059.59788034181</v>
      </c>
      <c r="AG581">
        <f t="shared" si="119"/>
        <v>280000</v>
      </c>
      <c r="AO581">
        <f t="shared" si="120"/>
        <v>573</v>
      </c>
      <c r="AP581">
        <f t="shared" si="121"/>
        <v>0</v>
      </c>
      <c r="AQ581">
        <f t="shared" si="122"/>
        <v>0</v>
      </c>
      <c r="AR581">
        <f t="shared" si="123"/>
        <v>0</v>
      </c>
      <c r="AS581">
        <f t="shared" si="113"/>
        <v>0</v>
      </c>
      <c r="AT581">
        <f t="shared" si="124"/>
        <v>250155.11224442557</v>
      </c>
      <c r="AU581">
        <f t="shared" si="125"/>
        <v>279999.99999999988</v>
      </c>
    </row>
    <row r="582" spans="27:47" ht="14.4">
      <c r="AA582">
        <f t="shared" si="114"/>
        <v>574</v>
      </c>
      <c r="AB582">
        <f t="shared" si="115"/>
        <v>0</v>
      </c>
      <c r="AC582">
        <f t="shared" si="116"/>
        <v>0</v>
      </c>
      <c r="AD582">
        <f t="shared" si="117"/>
        <v>0</v>
      </c>
      <c r="AE582">
        <f t="shared" si="112"/>
        <v>0</v>
      </c>
      <c r="AF582">
        <f t="shared" si="118"/>
        <v>531059.59788034181</v>
      </c>
      <c r="AG582">
        <f t="shared" si="119"/>
        <v>280000</v>
      </c>
      <c r="AO582">
        <f t="shared" si="120"/>
        <v>574</v>
      </c>
      <c r="AP582">
        <f t="shared" si="121"/>
        <v>0</v>
      </c>
      <c r="AQ582">
        <f t="shared" si="122"/>
        <v>0</v>
      </c>
      <c r="AR582">
        <f t="shared" si="123"/>
        <v>0</v>
      </c>
      <c r="AS582">
        <f t="shared" si="113"/>
        <v>0</v>
      </c>
      <c r="AT582">
        <f t="shared" si="124"/>
        <v>250155.11224442557</v>
      </c>
      <c r="AU582">
        <f t="shared" si="125"/>
        <v>279999.99999999988</v>
      </c>
    </row>
    <row r="583" spans="27:47" ht="14.4">
      <c r="AA583">
        <f t="shared" si="114"/>
        <v>575</v>
      </c>
      <c r="AB583">
        <f t="shared" si="115"/>
        <v>0</v>
      </c>
      <c r="AC583">
        <f t="shared" si="116"/>
        <v>0</v>
      </c>
      <c r="AD583">
        <f t="shared" si="117"/>
        <v>0</v>
      </c>
      <c r="AE583">
        <f t="shared" si="112"/>
        <v>0</v>
      </c>
      <c r="AF583">
        <f t="shared" si="118"/>
        <v>531059.59788034181</v>
      </c>
      <c r="AG583">
        <f t="shared" si="119"/>
        <v>280000</v>
      </c>
      <c r="AO583">
        <f t="shared" si="120"/>
        <v>575</v>
      </c>
      <c r="AP583">
        <f t="shared" si="121"/>
        <v>0</v>
      </c>
      <c r="AQ583">
        <f t="shared" si="122"/>
        <v>0</v>
      </c>
      <c r="AR583">
        <f t="shared" si="123"/>
        <v>0</v>
      </c>
      <c r="AS583">
        <f t="shared" si="113"/>
        <v>0</v>
      </c>
      <c r="AT583">
        <f t="shared" si="124"/>
        <v>250155.11224442557</v>
      </c>
      <c r="AU583">
        <f t="shared" si="125"/>
        <v>279999.99999999988</v>
      </c>
    </row>
    <row r="584" spans="27:47" ht="14.4">
      <c r="AA584">
        <f t="shared" si="114"/>
        <v>576</v>
      </c>
      <c r="AB584">
        <f t="shared" si="115"/>
        <v>0</v>
      </c>
      <c r="AC584">
        <f t="shared" si="116"/>
        <v>0</v>
      </c>
      <c r="AD584">
        <f t="shared" si="117"/>
        <v>0</v>
      </c>
      <c r="AE584">
        <f t="shared" si="112"/>
        <v>0</v>
      </c>
      <c r="AF584">
        <f t="shared" si="118"/>
        <v>531059.59788034181</v>
      </c>
      <c r="AG584">
        <f t="shared" si="119"/>
        <v>280000</v>
      </c>
      <c r="AO584">
        <f t="shared" si="120"/>
        <v>576</v>
      </c>
      <c r="AP584">
        <f t="shared" si="121"/>
        <v>0</v>
      </c>
      <c r="AQ584">
        <f t="shared" si="122"/>
        <v>0</v>
      </c>
      <c r="AR584">
        <f t="shared" si="123"/>
        <v>0</v>
      </c>
      <c r="AS584">
        <f t="shared" si="113"/>
        <v>0</v>
      </c>
      <c r="AT584">
        <f t="shared" si="124"/>
        <v>250155.11224442557</v>
      </c>
      <c r="AU584">
        <f t="shared" si="125"/>
        <v>279999.99999999988</v>
      </c>
    </row>
    <row r="585" spans="27:47" ht="14.4">
      <c r="AA585">
        <f t="shared" si="114"/>
        <v>577</v>
      </c>
      <c r="AB585">
        <f t="shared" si="115"/>
        <v>0</v>
      </c>
      <c r="AC585">
        <f t="shared" si="116"/>
        <v>0</v>
      </c>
      <c r="AD585">
        <f t="shared" si="117"/>
        <v>0</v>
      </c>
      <c r="AE585">
        <f t="shared" ref="AE585:AE648" si="126">MAX(0,AD585-AC585)</f>
        <v>0</v>
      </c>
      <c r="AF585">
        <f t="shared" si="118"/>
        <v>531059.59788034181</v>
      </c>
      <c r="AG585">
        <f t="shared" si="119"/>
        <v>280000</v>
      </c>
      <c r="AO585">
        <f t="shared" si="120"/>
        <v>577</v>
      </c>
      <c r="AP585">
        <f t="shared" si="121"/>
        <v>0</v>
      </c>
      <c r="AQ585">
        <f t="shared" si="122"/>
        <v>0</v>
      </c>
      <c r="AR585">
        <f t="shared" si="123"/>
        <v>0</v>
      </c>
      <c r="AS585">
        <f t="shared" ref="AS585:AS648" si="127">MAX(0,AR585-AQ585)</f>
        <v>0</v>
      </c>
      <c r="AT585">
        <f t="shared" si="124"/>
        <v>250155.11224442557</v>
      </c>
      <c r="AU585">
        <f t="shared" si="125"/>
        <v>279999.99999999988</v>
      </c>
    </row>
    <row r="586" spans="27:47" ht="14.4">
      <c r="AA586">
        <f t="shared" ref="AA586:AA608" si="128">AA585+1</f>
        <v>578</v>
      </c>
      <c r="AB586">
        <f t="shared" ref="AB586:AB608" si="129">MAX(0,AB585-AE586)</f>
        <v>0</v>
      </c>
      <c r="AC586">
        <f t="shared" ref="AC586:AC608" si="130">IF(AB585&lt;=0,0,AB585*$AA$6)</f>
        <v>0</v>
      </c>
      <c r="AD586">
        <f t="shared" ref="AD586:AD649" si="131">IF(AB585&lt;=0,0,MIN($AC$6,AB585+AC586))</f>
        <v>0</v>
      </c>
      <c r="AE586">
        <f t="shared" si="126"/>
        <v>0</v>
      </c>
      <c r="AF586">
        <f t="shared" ref="AF586:AF608" si="132">AF585+AC586</f>
        <v>531059.59788034181</v>
      </c>
      <c r="AG586">
        <f t="shared" ref="AG586:AG608" si="133">AG585+AE586</f>
        <v>280000</v>
      </c>
      <c r="AO586">
        <f t="shared" ref="AO586:AO608" si="134">AO585+1</f>
        <v>578</v>
      </c>
      <c r="AP586">
        <f t="shared" ref="AP586:AP608" si="135">MAX(0,AP585-AS586)</f>
        <v>0</v>
      </c>
      <c r="AQ586">
        <f t="shared" ref="AQ586:AQ608" si="136">IF(AP585&lt;=0,0,AP585*$AA$6)</f>
        <v>0</v>
      </c>
      <c r="AR586">
        <f t="shared" ref="AR586:AR649" si="137">IF(AP585&lt;=0,0,MIN($AD$6,AP585+AQ586))</f>
        <v>0</v>
      </c>
      <c r="AS586">
        <f t="shared" si="127"/>
        <v>0</v>
      </c>
      <c r="AT586">
        <f t="shared" ref="AT586:AT608" si="138">AT585+AQ586</f>
        <v>250155.11224442557</v>
      </c>
      <c r="AU586">
        <f t="shared" ref="AU586:AU608" si="139">AU585+AS586</f>
        <v>279999.99999999988</v>
      </c>
    </row>
    <row r="587" spans="27:47" ht="14.4">
      <c r="AA587">
        <f t="shared" si="128"/>
        <v>579</v>
      </c>
      <c r="AB587">
        <f t="shared" si="129"/>
        <v>0</v>
      </c>
      <c r="AC587">
        <f t="shared" si="130"/>
        <v>0</v>
      </c>
      <c r="AD587">
        <f t="shared" si="131"/>
        <v>0</v>
      </c>
      <c r="AE587">
        <f t="shared" si="126"/>
        <v>0</v>
      </c>
      <c r="AF587">
        <f t="shared" si="132"/>
        <v>531059.59788034181</v>
      </c>
      <c r="AG587">
        <f t="shared" si="133"/>
        <v>280000</v>
      </c>
      <c r="AO587">
        <f t="shared" si="134"/>
        <v>579</v>
      </c>
      <c r="AP587">
        <f t="shared" si="135"/>
        <v>0</v>
      </c>
      <c r="AQ587">
        <f t="shared" si="136"/>
        <v>0</v>
      </c>
      <c r="AR587">
        <f t="shared" si="137"/>
        <v>0</v>
      </c>
      <c r="AS587">
        <f t="shared" si="127"/>
        <v>0</v>
      </c>
      <c r="AT587">
        <f t="shared" si="138"/>
        <v>250155.11224442557</v>
      </c>
      <c r="AU587">
        <f t="shared" si="139"/>
        <v>279999.99999999988</v>
      </c>
    </row>
    <row r="588" spans="27:47" ht="14.4">
      <c r="AA588">
        <f t="shared" si="128"/>
        <v>580</v>
      </c>
      <c r="AB588">
        <f t="shared" si="129"/>
        <v>0</v>
      </c>
      <c r="AC588">
        <f t="shared" si="130"/>
        <v>0</v>
      </c>
      <c r="AD588">
        <f t="shared" si="131"/>
        <v>0</v>
      </c>
      <c r="AE588">
        <f t="shared" si="126"/>
        <v>0</v>
      </c>
      <c r="AF588">
        <f t="shared" si="132"/>
        <v>531059.59788034181</v>
      </c>
      <c r="AG588">
        <f t="shared" si="133"/>
        <v>280000</v>
      </c>
      <c r="AO588">
        <f t="shared" si="134"/>
        <v>580</v>
      </c>
      <c r="AP588">
        <f t="shared" si="135"/>
        <v>0</v>
      </c>
      <c r="AQ588">
        <f t="shared" si="136"/>
        <v>0</v>
      </c>
      <c r="AR588">
        <f t="shared" si="137"/>
        <v>0</v>
      </c>
      <c r="AS588">
        <f t="shared" si="127"/>
        <v>0</v>
      </c>
      <c r="AT588">
        <f t="shared" si="138"/>
        <v>250155.11224442557</v>
      </c>
      <c r="AU588">
        <f t="shared" si="139"/>
        <v>279999.99999999988</v>
      </c>
    </row>
    <row r="589" spans="27:47" ht="14.4">
      <c r="AA589">
        <f t="shared" si="128"/>
        <v>581</v>
      </c>
      <c r="AB589">
        <f t="shared" si="129"/>
        <v>0</v>
      </c>
      <c r="AC589">
        <f t="shared" si="130"/>
        <v>0</v>
      </c>
      <c r="AD589">
        <f t="shared" si="131"/>
        <v>0</v>
      </c>
      <c r="AE589">
        <f t="shared" si="126"/>
        <v>0</v>
      </c>
      <c r="AF589">
        <f t="shared" si="132"/>
        <v>531059.59788034181</v>
      </c>
      <c r="AG589">
        <f t="shared" si="133"/>
        <v>280000</v>
      </c>
      <c r="AO589">
        <f t="shared" si="134"/>
        <v>581</v>
      </c>
      <c r="AP589">
        <f t="shared" si="135"/>
        <v>0</v>
      </c>
      <c r="AQ589">
        <f t="shared" si="136"/>
        <v>0</v>
      </c>
      <c r="AR589">
        <f t="shared" si="137"/>
        <v>0</v>
      </c>
      <c r="AS589">
        <f t="shared" si="127"/>
        <v>0</v>
      </c>
      <c r="AT589">
        <f t="shared" si="138"/>
        <v>250155.11224442557</v>
      </c>
      <c r="AU589">
        <f t="shared" si="139"/>
        <v>279999.99999999988</v>
      </c>
    </row>
    <row r="590" spans="27:47" ht="14.4">
      <c r="AA590">
        <f t="shared" si="128"/>
        <v>582</v>
      </c>
      <c r="AB590">
        <f t="shared" si="129"/>
        <v>0</v>
      </c>
      <c r="AC590">
        <f t="shared" si="130"/>
        <v>0</v>
      </c>
      <c r="AD590">
        <f t="shared" si="131"/>
        <v>0</v>
      </c>
      <c r="AE590">
        <f t="shared" si="126"/>
        <v>0</v>
      </c>
      <c r="AF590">
        <f t="shared" si="132"/>
        <v>531059.59788034181</v>
      </c>
      <c r="AG590">
        <f t="shared" si="133"/>
        <v>280000</v>
      </c>
      <c r="AO590">
        <f t="shared" si="134"/>
        <v>582</v>
      </c>
      <c r="AP590">
        <f t="shared" si="135"/>
        <v>0</v>
      </c>
      <c r="AQ590">
        <f t="shared" si="136"/>
        <v>0</v>
      </c>
      <c r="AR590">
        <f t="shared" si="137"/>
        <v>0</v>
      </c>
      <c r="AS590">
        <f t="shared" si="127"/>
        <v>0</v>
      </c>
      <c r="AT590">
        <f t="shared" si="138"/>
        <v>250155.11224442557</v>
      </c>
      <c r="AU590">
        <f t="shared" si="139"/>
        <v>279999.99999999988</v>
      </c>
    </row>
    <row r="591" spans="27:47" ht="14.4">
      <c r="AA591">
        <f t="shared" si="128"/>
        <v>583</v>
      </c>
      <c r="AB591">
        <f t="shared" si="129"/>
        <v>0</v>
      </c>
      <c r="AC591">
        <f t="shared" si="130"/>
        <v>0</v>
      </c>
      <c r="AD591">
        <f t="shared" si="131"/>
        <v>0</v>
      </c>
      <c r="AE591">
        <f t="shared" si="126"/>
        <v>0</v>
      </c>
      <c r="AF591">
        <f t="shared" si="132"/>
        <v>531059.59788034181</v>
      </c>
      <c r="AG591">
        <f t="shared" si="133"/>
        <v>280000</v>
      </c>
      <c r="AO591">
        <f t="shared" si="134"/>
        <v>583</v>
      </c>
      <c r="AP591">
        <f t="shared" si="135"/>
        <v>0</v>
      </c>
      <c r="AQ591">
        <f t="shared" si="136"/>
        <v>0</v>
      </c>
      <c r="AR591">
        <f t="shared" si="137"/>
        <v>0</v>
      </c>
      <c r="AS591">
        <f t="shared" si="127"/>
        <v>0</v>
      </c>
      <c r="AT591">
        <f t="shared" si="138"/>
        <v>250155.11224442557</v>
      </c>
      <c r="AU591">
        <f t="shared" si="139"/>
        <v>279999.99999999988</v>
      </c>
    </row>
    <row r="592" spans="27:47" ht="14.4">
      <c r="AA592">
        <f t="shared" si="128"/>
        <v>584</v>
      </c>
      <c r="AB592">
        <f t="shared" si="129"/>
        <v>0</v>
      </c>
      <c r="AC592">
        <f t="shared" si="130"/>
        <v>0</v>
      </c>
      <c r="AD592">
        <f t="shared" si="131"/>
        <v>0</v>
      </c>
      <c r="AE592">
        <f t="shared" si="126"/>
        <v>0</v>
      </c>
      <c r="AF592">
        <f t="shared" si="132"/>
        <v>531059.59788034181</v>
      </c>
      <c r="AG592">
        <f t="shared" si="133"/>
        <v>280000</v>
      </c>
      <c r="AO592">
        <f t="shared" si="134"/>
        <v>584</v>
      </c>
      <c r="AP592">
        <f t="shared" si="135"/>
        <v>0</v>
      </c>
      <c r="AQ592">
        <f t="shared" si="136"/>
        <v>0</v>
      </c>
      <c r="AR592">
        <f t="shared" si="137"/>
        <v>0</v>
      </c>
      <c r="AS592">
        <f t="shared" si="127"/>
        <v>0</v>
      </c>
      <c r="AT592">
        <f t="shared" si="138"/>
        <v>250155.11224442557</v>
      </c>
      <c r="AU592">
        <f t="shared" si="139"/>
        <v>279999.99999999988</v>
      </c>
    </row>
    <row r="593" spans="27:47" ht="14.4">
      <c r="AA593">
        <f t="shared" si="128"/>
        <v>585</v>
      </c>
      <c r="AB593">
        <f t="shared" si="129"/>
        <v>0</v>
      </c>
      <c r="AC593">
        <f t="shared" si="130"/>
        <v>0</v>
      </c>
      <c r="AD593">
        <f t="shared" si="131"/>
        <v>0</v>
      </c>
      <c r="AE593">
        <f t="shared" si="126"/>
        <v>0</v>
      </c>
      <c r="AF593">
        <f t="shared" si="132"/>
        <v>531059.59788034181</v>
      </c>
      <c r="AG593">
        <f t="shared" si="133"/>
        <v>280000</v>
      </c>
      <c r="AO593">
        <f t="shared" si="134"/>
        <v>585</v>
      </c>
      <c r="AP593">
        <f t="shared" si="135"/>
        <v>0</v>
      </c>
      <c r="AQ593">
        <f t="shared" si="136"/>
        <v>0</v>
      </c>
      <c r="AR593">
        <f t="shared" si="137"/>
        <v>0</v>
      </c>
      <c r="AS593">
        <f t="shared" si="127"/>
        <v>0</v>
      </c>
      <c r="AT593">
        <f t="shared" si="138"/>
        <v>250155.11224442557</v>
      </c>
      <c r="AU593">
        <f t="shared" si="139"/>
        <v>279999.99999999988</v>
      </c>
    </row>
    <row r="594" spans="27:47" ht="14.4">
      <c r="AA594">
        <f t="shared" si="128"/>
        <v>586</v>
      </c>
      <c r="AB594">
        <f t="shared" si="129"/>
        <v>0</v>
      </c>
      <c r="AC594">
        <f t="shared" si="130"/>
        <v>0</v>
      </c>
      <c r="AD594">
        <f t="shared" si="131"/>
        <v>0</v>
      </c>
      <c r="AE594">
        <f t="shared" si="126"/>
        <v>0</v>
      </c>
      <c r="AF594">
        <f t="shared" si="132"/>
        <v>531059.59788034181</v>
      </c>
      <c r="AG594">
        <f t="shared" si="133"/>
        <v>280000</v>
      </c>
      <c r="AO594">
        <f t="shared" si="134"/>
        <v>586</v>
      </c>
      <c r="AP594">
        <f t="shared" si="135"/>
        <v>0</v>
      </c>
      <c r="AQ594">
        <f t="shared" si="136"/>
        <v>0</v>
      </c>
      <c r="AR594">
        <f t="shared" si="137"/>
        <v>0</v>
      </c>
      <c r="AS594">
        <f t="shared" si="127"/>
        <v>0</v>
      </c>
      <c r="AT594">
        <f t="shared" si="138"/>
        <v>250155.11224442557</v>
      </c>
      <c r="AU594">
        <f t="shared" si="139"/>
        <v>279999.99999999988</v>
      </c>
    </row>
    <row r="595" spans="27:47" ht="14.4">
      <c r="AA595">
        <f t="shared" si="128"/>
        <v>587</v>
      </c>
      <c r="AB595">
        <f t="shared" si="129"/>
        <v>0</v>
      </c>
      <c r="AC595">
        <f t="shared" si="130"/>
        <v>0</v>
      </c>
      <c r="AD595">
        <f t="shared" si="131"/>
        <v>0</v>
      </c>
      <c r="AE595">
        <f t="shared" si="126"/>
        <v>0</v>
      </c>
      <c r="AF595">
        <f t="shared" si="132"/>
        <v>531059.59788034181</v>
      </c>
      <c r="AG595">
        <f t="shared" si="133"/>
        <v>280000</v>
      </c>
      <c r="AO595">
        <f t="shared" si="134"/>
        <v>587</v>
      </c>
      <c r="AP595">
        <f t="shared" si="135"/>
        <v>0</v>
      </c>
      <c r="AQ595">
        <f t="shared" si="136"/>
        <v>0</v>
      </c>
      <c r="AR595">
        <f t="shared" si="137"/>
        <v>0</v>
      </c>
      <c r="AS595">
        <f t="shared" si="127"/>
        <v>0</v>
      </c>
      <c r="AT595">
        <f t="shared" si="138"/>
        <v>250155.11224442557</v>
      </c>
      <c r="AU595">
        <f t="shared" si="139"/>
        <v>279999.99999999988</v>
      </c>
    </row>
    <row r="596" spans="27:47" ht="14.4">
      <c r="AA596">
        <f t="shared" si="128"/>
        <v>588</v>
      </c>
      <c r="AB596">
        <f t="shared" si="129"/>
        <v>0</v>
      </c>
      <c r="AC596">
        <f t="shared" si="130"/>
        <v>0</v>
      </c>
      <c r="AD596">
        <f t="shared" si="131"/>
        <v>0</v>
      </c>
      <c r="AE596">
        <f t="shared" si="126"/>
        <v>0</v>
      </c>
      <c r="AF596">
        <f t="shared" si="132"/>
        <v>531059.59788034181</v>
      </c>
      <c r="AG596">
        <f t="shared" si="133"/>
        <v>280000</v>
      </c>
      <c r="AO596">
        <f t="shared" si="134"/>
        <v>588</v>
      </c>
      <c r="AP596">
        <f t="shared" si="135"/>
        <v>0</v>
      </c>
      <c r="AQ596">
        <f t="shared" si="136"/>
        <v>0</v>
      </c>
      <c r="AR596">
        <f t="shared" si="137"/>
        <v>0</v>
      </c>
      <c r="AS596">
        <f t="shared" si="127"/>
        <v>0</v>
      </c>
      <c r="AT596">
        <f t="shared" si="138"/>
        <v>250155.11224442557</v>
      </c>
      <c r="AU596">
        <f t="shared" si="139"/>
        <v>279999.99999999988</v>
      </c>
    </row>
    <row r="597" spans="27:47" ht="14.4">
      <c r="AA597">
        <f t="shared" si="128"/>
        <v>589</v>
      </c>
      <c r="AB597">
        <f t="shared" si="129"/>
        <v>0</v>
      </c>
      <c r="AC597">
        <f t="shared" si="130"/>
        <v>0</v>
      </c>
      <c r="AD597">
        <f t="shared" si="131"/>
        <v>0</v>
      </c>
      <c r="AE597">
        <f t="shared" si="126"/>
        <v>0</v>
      </c>
      <c r="AF597">
        <f t="shared" si="132"/>
        <v>531059.59788034181</v>
      </c>
      <c r="AG597">
        <f t="shared" si="133"/>
        <v>280000</v>
      </c>
      <c r="AO597">
        <f t="shared" si="134"/>
        <v>589</v>
      </c>
      <c r="AP597">
        <f t="shared" si="135"/>
        <v>0</v>
      </c>
      <c r="AQ597">
        <f t="shared" si="136"/>
        <v>0</v>
      </c>
      <c r="AR597">
        <f t="shared" si="137"/>
        <v>0</v>
      </c>
      <c r="AS597">
        <f t="shared" si="127"/>
        <v>0</v>
      </c>
      <c r="AT597">
        <f t="shared" si="138"/>
        <v>250155.11224442557</v>
      </c>
      <c r="AU597">
        <f t="shared" si="139"/>
        <v>279999.99999999988</v>
      </c>
    </row>
    <row r="598" spans="27:47" ht="14.4">
      <c r="AA598">
        <f t="shared" si="128"/>
        <v>590</v>
      </c>
      <c r="AB598">
        <f t="shared" si="129"/>
        <v>0</v>
      </c>
      <c r="AC598">
        <f t="shared" si="130"/>
        <v>0</v>
      </c>
      <c r="AD598">
        <f t="shared" si="131"/>
        <v>0</v>
      </c>
      <c r="AE598">
        <f t="shared" si="126"/>
        <v>0</v>
      </c>
      <c r="AF598">
        <f t="shared" si="132"/>
        <v>531059.59788034181</v>
      </c>
      <c r="AG598">
        <f t="shared" si="133"/>
        <v>280000</v>
      </c>
      <c r="AO598">
        <f t="shared" si="134"/>
        <v>590</v>
      </c>
      <c r="AP598">
        <f t="shared" si="135"/>
        <v>0</v>
      </c>
      <c r="AQ598">
        <f t="shared" si="136"/>
        <v>0</v>
      </c>
      <c r="AR598">
        <f t="shared" si="137"/>
        <v>0</v>
      </c>
      <c r="AS598">
        <f t="shared" si="127"/>
        <v>0</v>
      </c>
      <c r="AT598">
        <f t="shared" si="138"/>
        <v>250155.11224442557</v>
      </c>
      <c r="AU598">
        <f t="shared" si="139"/>
        <v>279999.99999999988</v>
      </c>
    </row>
    <row r="599" spans="27:47" ht="14.4">
      <c r="AA599">
        <f t="shared" si="128"/>
        <v>591</v>
      </c>
      <c r="AB599">
        <f t="shared" si="129"/>
        <v>0</v>
      </c>
      <c r="AC599">
        <f t="shared" si="130"/>
        <v>0</v>
      </c>
      <c r="AD599">
        <f t="shared" si="131"/>
        <v>0</v>
      </c>
      <c r="AE599">
        <f t="shared" si="126"/>
        <v>0</v>
      </c>
      <c r="AF599">
        <f t="shared" si="132"/>
        <v>531059.59788034181</v>
      </c>
      <c r="AG599">
        <f t="shared" si="133"/>
        <v>280000</v>
      </c>
      <c r="AO599">
        <f t="shared" si="134"/>
        <v>591</v>
      </c>
      <c r="AP599">
        <f t="shared" si="135"/>
        <v>0</v>
      </c>
      <c r="AQ599">
        <f t="shared" si="136"/>
        <v>0</v>
      </c>
      <c r="AR599">
        <f t="shared" si="137"/>
        <v>0</v>
      </c>
      <c r="AS599">
        <f t="shared" si="127"/>
        <v>0</v>
      </c>
      <c r="AT599">
        <f t="shared" si="138"/>
        <v>250155.11224442557</v>
      </c>
      <c r="AU599">
        <f t="shared" si="139"/>
        <v>279999.99999999988</v>
      </c>
    </row>
    <row r="600" spans="27:47" ht="14.4">
      <c r="AA600">
        <f t="shared" si="128"/>
        <v>592</v>
      </c>
      <c r="AB600">
        <f t="shared" si="129"/>
        <v>0</v>
      </c>
      <c r="AC600">
        <f t="shared" si="130"/>
        <v>0</v>
      </c>
      <c r="AD600">
        <f t="shared" si="131"/>
        <v>0</v>
      </c>
      <c r="AE600">
        <f t="shared" si="126"/>
        <v>0</v>
      </c>
      <c r="AF600">
        <f t="shared" si="132"/>
        <v>531059.59788034181</v>
      </c>
      <c r="AG600">
        <f t="shared" si="133"/>
        <v>280000</v>
      </c>
      <c r="AO600">
        <f t="shared" si="134"/>
        <v>592</v>
      </c>
      <c r="AP600">
        <f t="shared" si="135"/>
        <v>0</v>
      </c>
      <c r="AQ600">
        <f t="shared" si="136"/>
        <v>0</v>
      </c>
      <c r="AR600">
        <f t="shared" si="137"/>
        <v>0</v>
      </c>
      <c r="AS600">
        <f t="shared" si="127"/>
        <v>0</v>
      </c>
      <c r="AT600">
        <f t="shared" si="138"/>
        <v>250155.11224442557</v>
      </c>
      <c r="AU600">
        <f t="shared" si="139"/>
        <v>279999.99999999988</v>
      </c>
    </row>
    <row r="601" spans="27:47" ht="14.4">
      <c r="AA601">
        <f t="shared" si="128"/>
        <v>593</v>
      </c>
      <c r="AB601">
        <f t="shared" si="129"/>
        <v>0</v>
      </c>
      <c r="AC601">
        <f t="shared" si="130"/>
        <v>0</v>
      </c>
      <c r="AD601">
        <f t="shared" si="131"/>
        <v>0</v>
      </c>
      <c r="AE601">
        <f t="shared" si="126"/>
        <v>0</v>
      </c>
      <c r="AF601">
        <f t="shared" si="132"/>
        <v>531059.59788034181</v>
      </c>
      <c r="AG601">
        <f t="shared" si="133"/>
        <v>280000</v>
      </c>
      <c r="AO601">
        <f t="shared" si="134"/>
        <v>593</v>
      </c>
      <c r="AP601">
        <f t="shared" si="135"/>
        <v>0</v>
      </c>
      <c r="AQ601">
        <f t="shared" si="136"/>
        <v>0</v>
      </c>
      <c r="AR601">
        <f t="shared" si="137"/>
        <v>0</v>
      </c>
      <c r="AS601">
        <f t="shared" si="127"/>
        <v>0</v>
      </c>
      <c r="AT601">
        <f t="shared" si="138"/>
        <v>250155.11224442557</v>
      </c>
      <c r="AU601">
        <f t="shared" si="139"/>
        <v>279999.99999999988</v>
      </c>
    </row>
    <row r="602" spans="27:47" ht="14.4">
      <c r="AA602">
        <f t="shared" si="128"/>
        <v>594</v>
      </c>
      <c r="AB602">
        <f t="shared" si="129"/>
        <v>0</v>
      </c>
      <c r="AC602">
        <f t="shared" si="130"/>
        <v>0</v>
      </c>
      <c r="AD602">
        <f t="shared" si="131"/>
        <v>0</v>
      </c>
      <c r="AE602">
        <f t="shared" si="126"/>
        <v>0</v>
      </c>
      <c r="AF602">
        <f t="shared" si="132"/>
        <v>531059.59788034181</v>
      </c>
      <c r="AG602">
        <f t="shared" si="133"/>
        <v>280000</v>
      </c>
      <c r="AO602">
        <f t="shared" si="134"/>
        <v>594</v>
      </c>
      <c r="AP602">
        <f t="shared" si="135"/>
        <v>0</v>
      </c>
      <c r="AQ602">
        <f t="shared" si="136"/>
        <v>0</v>
      </c>
      <c r="AR602">
        <f t="shared" si="137"/>
        <v>0</v>
      </c>
      <c r="AS602">
        <f t="shared" si="127"/>
        <v>0</v>
      </c>
      <c r="AT602">
        <f t="shared" si="138"/>
        <v>250155.11224442557</v>
      </c>
      <c r="AU602">
        <f t="shared" si="139"/>
        <v>279999.99999999988</v>
      </c>
    </row>
    <row r="603" spans="27:47" ht="14.4">
      <c r="AA603">
        <f t="shared" si="128"/>
        <v>595</v>
      </c>
      <c r="AB603">
        <f t="shared" si="129"/>
        <v>0</v>
      </c>
      <c r="AC603">
        <f t="shared" si="130"/>
        <v>0</v>
      </c>
      <c r="AD603">
        <f t="shared" si="131"/>
        <v>0</v>
      </c>
      <c r="AE603">
        <f t="shared" si="126"/>
        <v>0</v>
      </c>
      <c r="AF603">
        <f t="shared" si="132"/>
        <v>531059.59788034181</v>
      </c>
      <c r="AG603">
        <f t="shared" si="133"/>
        <v>280000</v>
      </c>
      <c r="AO603">
        <f t="shared" si="134"/>
        <v>595</v>
      </c>
      <c r="AP603">
        <f t="shared" si="135"/>
        <v>0</v>
      </c>
      <c r="AQ603">
        <f t="shared" si="136"/>
        <v>0</v>
      </c>
      <c r="AR603">
        <f t="shared" si="137"/>
        <v>0</v>
      </c>
      <c r="AS603">
        <f t="shared" si="127"/>
        <v>0</v>
      </c>
      <c r="AT603">
        <f t="shared" si="138"/>
        <v>250155.11224442557</v>
      </c>
      <c r="AU603">
        <f t="shared" si="139"/>
        <v>279999.99999999988</v>
      </c>
    </row>
    <row r="604" spans="27:47" ht="14.4">
      <c r="AA604">
        <f t="shared" si="128"/>
        <v>596</v>
      </c>
      <c r="AB604">
        <f t="shared" si="129"/>
        <v>0</v>
      </c>
      <c r="AC604">
        <f t="shared" si="130"/>
        <v>0</v>
      </c>
      <c r="AD604">
        <f t="shared" si="131"/>
        <v>0</v>
      </c>
      <c r="AE604">
        <f t="shared" si="126"/>
        <v>0</v>
      </c>
      <c r="AF604">
        <f t="shared" si="132"/>
        <v>531059.59788034181</v>
      </c>
      <c r="AG604">
        <f t="shared" si="133"/>
        <v>280000</v>
      </c>
      <c r="AO604">
        <f t="shared" si="134"/>
        <v>596</v>
      </c>
      <c r="AP604">
        <f t="shared" si="135"/>
        <v>0</v>
      </c>
      <c r="AQ604">
        <f t="shared" si="136"/>
        <v>0</v>
      </c>
      <c r="AR604">
        <f t="shared" si="137"/>
        <v>0</v>
      </c>
      <c r="AS604">
        <f t="shared" si="127"/>
        <v>0</v>
      </c>
      <c r="AT604">
        <f t="shared" si="138"/>
        <v>250155.11224442557</v>
      </c>
      <c r="AU604">
        <f t="shared" si="139"/>
        <v>279999.99999999988</v>
      </c>
    </row>
    <row r="605" spans="27:47" ht="14.4">
      <c r="AA605">
        <f t="shared" si="128"/>
        <v>597</v>
      </c>
      <c r="AB605">
        <f t="shared" si="129"/>
        <v>0</v>
      </c>
      <c r="AC605">
        <f t="shared" si="130"/>
        <v>0</v>
      </c>
      <c r="AD605">
        <f t="shared" si="131"/>
        <v>0</v>
      </c>
      <c r="AE605">
        <f t="shared" si="126"/>
        <v>0</v>
      </c>
      <c r="AF605">
        <f t="shared" si="132"/>
        <v>531059.59788034181</v>
      </c>
      <c r="AG605">
        <f t="shared" si="133"/>
        <v>280000</v>
      </c>
      <c r="AO605">
        <f t="shared" si="134"/>
        <v>597</v>
      </c>
      <c r="AP605">
        <f t="shared" si="135"/>
        <v>0</v>
      </c>
      <c r="AQ605">
        <f t="shared" si="136"/>
        <v>0</v>
      </c>
      <c r="AR605">
        <f t="shared" si="137"/>
        <v>0</v>
      </c>
      <c r="AS605">
        <f t="shared" si="127"/>
        <v>0</v>
      </c>
      <c r="AT605">
        <f t="shared" si="138"/>
        <v>250155.11224442557</v>
      </c>
      <c r="AU605">
        <f t="shared" si="139"/>
        <v>279999.99999999988</v>
      </c>
    </row>
    <row r="606" spans="27:47" ht="14.4">
      <c r="AA606">
        <f t="shared" si="128"/>
        <v>598</v>
      </c>
      <c r="AB606">
        <f t="shared" si="129"/>
        <v>0</v>
      </c>
      <c r="AC606">
        <f t="shared" si="130"/>
        <v>0</v>
      </c>
      <c r="AD606">
        <f t="shared" si="131"/>
        <v>0</v>
      </c>
      <c r="AE606">
        <f t="shared" si="126"/>
        <v>0</v>
      </c>
      <c r="AF606">
        <f t="shared" si="132"/>
        <v>531059.59788034181</v>
      </c>
      <c r="AG606">
        <f t="shared" si="133"/>
        <v>280000</v>
      </c>
      <c r="AO606">
        <f t="shared" si="134"/>
        <v>598</v>
      </c>
      <c r="AP606">
        <f t="shared" si="135"/>
        <v>0</v>
      </c>
      <c r="AQ606">
        <f t="shared" si="136"/>
        <v>0</v>
      </c>
      <c r="AR606">
        <f t="shared" si="137"/>
        <v>0</v>
      </c>
      <c r="AS606">
        <f t="shared" si="127"/>
        <v>0</v>
      </c>
      <c r="AT606">
        <f t="shared" si="138"/>
        <v>250155.11224442557</v>
      </c>
      <c r="AU606">
        <f t="shared" si="139"/>
        <v>279999.99999999988</v>
      </c>
    </row>
    <row r="607" spans="27:47" ht="14.4">
      <c r="AA607">
        <f t="shared" si="128"/>
        <v>599</v>
      </c>
      <c r="AB607">
        <f t="shared" si="129"/>
        <v>0</v>
      </c>
      <c r="AC607">
        <f t="shared" si="130"/>
        <v>0</v>
      </c>
      <c r="AD607">
        <f t="shared" si="131"/>
        <v>0</v>
      </c>
      <c r="AE607">
        <f t="shared" si="126"/>
        <v>0</v>
      </c>
      <c r="AF607">
        <f t="shared" si="132"/>
        <v>531059.59788034181</v>
      </c>
      <c r="AG607">
        <f t="shared" si="133"/>
        <v>280000</v>
      </c>
      <c r="AO607">
        <f t="shared" si="134"/>
        <v>599</v>
      </c>
      <c r="AP607">
        <f t="shared" si="135"/>
        <v>0</v>
      </c>
      <c r="AQ607">
        <f t="shared" si="136"/>
        <v>0</v>
      </c>
      <c r="AR607">
        <f t="shared" si="137"/>
        <v>0</v>
      </c>
      <c r="AS607">
        <f t="shared" si="127"/>
        <v>0</v>
      </c>
      <c r="AT607">
        <f t="shared" si="138"/>
        <v>250155.11224442557</v>
      </c>
      <c r="AU607">
        <f t="shared" si="139"/>
        <v>279999.99999999988</v>
      </c>
    </row>
    <row r="608" spans="27:47" ht="14.4">
      <c r="AA608">
        <f t="shared" si="128"/>
        <v>600</v>
      </c>
      <c r="AB608">
        <f t="shared" si="129"/>
        <v>0</v>
      </c>
      <c r="AC608">
        <f t="shared" si="130"/>
        <v>0</v>
      </c>
      <c r="AD608">
        <f t="shared" si="131"/>
        <v>0</v>
      </c>
      <c r="AE608">
        <f t="shared" si="126"/>
        <v>0</v>
      </c>
      <c r="AF608">
        <f t="shared" si="132"/>
        <v>531059.59788034181</v>
      </c>
      <c r="AG608">
        <f t="shared" si="133"/>
        <v>280000</v>
      </c>
      <c r="AO608">
        <f t="shared" si="134"/>
        <v>600</v>
      </c>
      <c r="AP608">
        <f t="shared" si="135"/>
        <v>0</v>
      </c>
      <c r="AQ608">
        <f t="shared" si="136"/>
        <v>0</v>
      </c>
      <c r="AR608">
        <f t="shared" si="137"/>
        <v>0</v>
      </c>
      <c r="AS608">
        <f t="shared" si="127"/>
        <v>0</v>
      </c>
      <c r="AT608">
        <f t="shared" si="138"/>
        <v>250155.11224442557</v>
      </c>
      <c r="AU608">
        <f t="shared" si="139"/>
        <v>279999.99999999988</v>
      </c>
    </row>
  </sheetData>
  <sheetProtection sheet="1" objects="1" scenarios="1" formatCells="0"/>
  <mergeCells count="24">
    <mergeCell ref="I5:K7"/>
    <mergeCell ref="F17:K17"/>
    <mergeCell ref="F18:K19"/>
    <mergeCell ref="A21:D21"/>
    <mergeCell ref="I1:L1"/>
    <mergeCell ref="I2:L4"/>
    <mergeCell ref="C12:D12"/>
    <mergeCell ref="F12:G12"/>
    <mergeCell ref="H12:I12"/>
    <mergeCell ref="J12:K12"/>
    <mergeCell ref="C13:D13"/>
    <mergeCell ref="F13:G14"/>
    <mergeCell ref="H13:I14"/>
    <mergeCell ref="J13:K14"/>
    <mergeCell ref="F9:G10"/>
    <mergeCell ref="H9:I10"/>
    <mergeCell ref="J9:K10"/>
    <mergeCell ref="C10:D10"/>
    <mergeCell ref="C11:D11"/>
    <mergeCell ref="B1:H2"/>
    <mergeCell ref="A8:D8"/>
    <mergeCell ref="F8:G8"/>
    <mergeCell ref="H8:I8"/>
    <mergeCell ref="J8:K8"/>
  </mergeCells>
  <dataValidations count="3">
    <dataValidation type="decimal" operator="greaterThanOrEqual" sqref="C10 C13">
      <formula1>0</formula1>
      <formula2>0</formula2>
    </dataValidation>
    <dataValidation type="decimal" sqref="C11">
      <formula1>0</formula1>
      <formula2>100</formula2>
    </dataValidation>
    <dataValidation type="whole" sqref="C12">
      <formula1>1</formula1>
      <formula2>50</formula2>
    </dataValidation>
  </dataValidations>
  <hyperlinks>
    <hyperlink ref="I5:K7" r:id="rId1" display="OFERTA PREMIUM"/>
  </hyperlinks>
  <pageMargins left="0.75" right="0.75" top="1" bottom="1" header="0.511811023622047" footer="0.511811023622047"/>
  <pageSetup orientation="landscape" horizontalDpi="300" verticalDpi="3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Dashboard Premium</vt:lpstr>
      <vt:lpstr>'Dashboard Premium'!Area_de_impressao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prestes grigol</dc:creator>
  <cp:lastModifiedBy>mauricio prestes grigol</cp:lastModifiedBy>
  <dcterms:created xsi:type="dcterms:W3CDTF">2026-03-22T21:15:32Z</dcterms:created>
  <dcterms:modified xsi:type="dcterms:W3CDTF">2026-03-22T21:15:32Z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2026-03-22T13:27:58Z</dcterms:created>
  <dc:creator>openpyxl</dc:creator>
  <dc:description/>
  <dc:language>en-US</dc:language>
  <cp:lastModifiedBy/>
  <dcterms:modified xsi:type="dcterms:W3CDTF">2026-03-22T13:31:17Z</dcterms:modified>
  <cp:revision>0</cp:revision>
  <dc:subject/>
  <dc:title/>
</cp:coreProperties>
</file>